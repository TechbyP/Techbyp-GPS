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DieseArbeitsmappe" defaultThemeVersion="124226"/>
  <bookViews>
    <workbookView xWindow="-15" yWindow="-15" windowWidth="9600" windowHeight="5610" activeTab="6"/>
  </bookViews>
  <sheets>
    <sheet name="Auftragsdaten" sheetId="3" r:id="rId1"/>
    <sheet name="Proben" sheetId="1" r:id="rId2"/>
    <sheet name="Muster-csv" sheetId="5" state="hidden" r:id="rId3"/>
    <sheet name="Einstellungen+Makro" sheetId="26" r:id="rId4"/>
    <sheet name="freies Blatt" sheetId="4" r:id="rId5"/>
    <sheet name="Begleitschein" sheetId="27" r:id="rId6"/>
    <sheet name="Anleitung" sheetId="28" r:id="rId7"/>
    <sheet name="Hilfstabellen" sheetId="2" state="hidden" r:id="rId8"/>
    <sheet name="ChangeLog" sheetId="29" state="hidden" r:id="rId9"/>
    <sheet name="analog" sheetId="30" state="hidden" r:id="rId10"/>
  </sheets>
  <definedNames>
    <definedName name="_xlnm._FilterDatabase" localSheetId="8" hidden="1">ChangeLog!$A$1:$E$1</definedName>
    <definedName name="Ackergras">Hilfstabellen!$R$5:$R$77</definedName>
    <definedName name="Auswahl">Hilfstabellen!#REF!</definedName>
    <definedName name="_xlnm.Print_Area" localSheetId="0">Auftragsdaten!$A$1:$H$38</definedName>
    <definedName name="_xlnm.Print_Area" localSheetId="1">INDIRECT(Proben!$C$1)</definedName>
    <definedName name="Druckbereich_Auftragsdaten" localSheetId="0">Auftragsdaten!$B$2:$H$35</definedName>
    <definedName name="_xlnm.Print_Titles" localSheetId="1">Proben!$3:$6</definedName>
    <definedName name="Fruchtarten" comment="hier sind die Fruchtarten zur Auswahl auf dem Deckblatt hinterlegt. per = Zeichen aus der Tabellen links übernommen">Hilfstabellen!$R$5:$R$77</definedName>
    <definedName name="Typ_Nmin">Hilfstabellen!$A$46:$A$48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N8" i="1" l="1"/>
  <c r="I2" i="28" l="1"/>
  <c r="H2" i="28"/>
  <c r="R21" i="2" l="1"/>
  <c r="R6" i="2" l="1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5" i="2"/>
  <c r="I12" i="26" l="1"/>
  <c r="I5" i="2" l="1"/>
  <c r="I16" i="2"/>
  <c r="I17" i="2"/>
  <c r="I18" i="2"/>
  <c r="I19" i="2"/>
  <c r="I20" i="2"/>
  <c r="I21" i="2"/>
  <c r="I26" i="2"/>
  <c r="I33" i="2"/>
  <c r="I39" i="2"/>
  <c r="I40" i="2"/>
  <c r="I41" i="2"/>
  <c r="I42" i="2"/>
  <c r="I43" i="2"/>
  <c r="I55" i="2"/>
  <c r="I58" i="2"/>
  <c r="I59" i="2"/>
  <c r="I60" i="2"/>
  <c r="I61" i="2"/>
  <c r="I62" i="2"/>
  <c r="I63" i="2"/>
  <c r="I67" i="2"/>
  <c r="I68" i="2"/>
  <c r="I69" i="2"/>
  <c r="I70" i="2"/>
  <c r="I71" i="2"/>
  <c r="I72" i="2"/>
  <c r="I73" i="2"/>
  <c r="I74" i="2"/>
  <c r="I75" i="2"/>
  <c r="I4" i="2"/>
  <c r="I6" i="2"/>
  <c r="I7" i="2"/>
  <c r="I8" i="2"/>
  <c r="I9" i="2"/>
  <c r="I10" i="2"/>
  <c r="I11" i="2"/>
  <c r="I12" i="2"/>
  <c r="I13" i="2"/>
  <c r="I14" i="2"/>
  <c r="I15" i="2"/>
  <c r="I22" i="2"/>
  <c r="I23" i="2"/>
  <c r="I24" i="2"/>
  <c r="I25" i="2"/>
  <c r="I27" i="2"/>
  <c r="I28" i="2"/>
  <c r="I29" i="2"/>
  <c r="I30" i="2"/>
  <c r="I31" i="2"/>
  <c r="I32" i="2"/>
  <c r="I34" i="2"/>
  <c r="I35" i="2"/>
  <c r="I36" i="2"/>
  <c r="I37" i="2"/>
  <c r="I38" i="2"/>
  <c r="I44" i="2"/>
  <c r="I45" i="2"/>
  <c r="I46" i="2"/>
  <c r="I47" i="2"/>
  <c r="I48" i="2"/>
  <c r="I49" i="2"/>
  <c r="I50" i="2"/>
  <c r="I51" i="2"/>
  <c r="I52" i="2"/>
  <c r="I53" i="2"/>
  <c r="I54" i="2"/>
  <c r="I56" i="2"/>
  <c r="I57" i="2"/>
  <c r="I64" i="2"/>
  <c r="I65" i="2"/>
  <c r="I66" i="2"/>
  <c r="I76" i="2"/>
  <c r="I77" i="2"/>
  <c r="G3" i="1" l="1"/>
</calcChain>
</file>

<file path=xl/comments1.xml><?xml version="1.0" encoding="utf-8"?>
<comments xmlns="http://schemas.openxmlformats.org/spreadsheetml/2006/main">
  <authors>
    <author>Schülter, Mathias</author>
  </authors>
  <commentList>
    <comment ref="N6" authorId="0">
      <text>
        <r>
          <rPr>
            <b/>
            <sz val="9"/>
            <color indexed="81"/>
            <rFont val="Segoe UI"/>
            <family val="2"/>
          </rPr>
          <t>Schülter, Mathias:</t>
        </r>
        <r>
          <rPr>
            <sz val="9"/>
            <color indexed="81"/>
            <rFont val="Segoe UI"/>
            <family val="2"/>
          </rPr>
          <t xml:space="preserve">
A: Acker
W: Grünland
R: Rebe
O: Obst
H: Hopfen
U: Übrige
Bei fehlender Angabe wird Ackernutzung unterstellt</t>
        </r>
      </text>
    </comment>
    <comment ref="Q6" authorId="0">
      <text>
        <r>
          <rPr>
            <sz val="9"/>
            <color indexed="81"/>
            <rFont val="Segoe UI"/>
            <family val="2"/>
          </rPr>
          <t xml:space="preserve">Kundenagabe Bodenart -&gt; Bodenart wird auf Befund als "Bodenart Kundenangabe" ausgegeben
</t>
        </r>
      </text>
    </comment>
    <comment ref="R6" authorId="0">
      <text>
        <r>
          <rPr>
            <sz val="9"/>
            <color indexed="81"/>
            <rFont val="Segoe UI"/>
            <family val="2"/>
          </rPr>
          <t xml:space="preserve">Kundenangabe Humusstufe, wird als "Humusstufe Kundenangabe" auf dem Befund ausgegeben.
</t>
        </r>
      </text>
    </comment>
  </commentList>
</comments>
</file>

<file path=xl/comments2.xml><?xml version="1.0" encoding="utf-8"?>
<comments xmlns="http://schemas.openxmlformats.org/spreadsheetml/2006/main">
  <authors>
    <author>Rupprecht, Markus</author>
    <author>Heintges, Karen</author>
  </authors>
  <commentList>
    <comment ref="AM14" authorId="0">
      <text>
        <r>
          <rPr>
            <sz val="9"/>
            <color indexed="81"/>
            <rFont val="Tahoma"/>
            <family val="2"/>
          </rPr>
          <t>bleibt leer - es sollen NEUE Lots angelegt werden</t>
        </r>
      </text>
    </comment>
    <comment ref="BG14" authorId="0">
      <text>
        <r>
          <rPr>
            <b/>
            <sz val="9"/>
            <color indexed="81"/>
            <rFont val="Tahoma"/>
            <family val="2"/>
          </rPr>
          <t>Rupprecht, Markus:</t>
        </r>
        <r>
          <rPr>
            <sz val="9"/>
            <color indexed="81"/>
            <rFont val="Tahoma"/>
            <family val="2"/>
          </rPr>
          <t xml:space="preserve">
Muss einmalig sein</t>
        </r>
      </text>
    </comment>
    <comment ref="EY14" authorId="0">
      <text>
        <r>
          <rPr>
            <sz val="11"/>
            <color indexed="81"/>
            <rFont val="Tahoma"/>
            <family val="2"/>
          </rPr>
          <t>Gesamter Block ist für jeden der 5 möglichen Einträge zu wiederholen</t>
        </r>
      </text>
    </comment>
    <comment ref="D15" authorId="0">
      <text>
        <r>
          <rPr>
            <sz val="10"/>
            <color indexed="81"/>
            <rFont val="Tahoma"/>
            <family val="2"/>
          </rPr>
          <t>PROBE_BODEN.PROBENR: varchar max 6 &gt;&gt;&gt; erwartet wird "343511"</t>
        </r>
      </text>
    </comment>
    <comment ref="AS15" authorId="0">
      <text>
        <r>
          <rPr>
            <sz val="10"/>
            <color indexed="81"/>
            <rFont val="Tahoma"/>
            <family val="2"/>
          </rPr>
          <t xml:space="preserve">INTEGER max 3 - &gt;&gt;&gt; erwartet wird 235
</t>
        </r>
      </text>
    </comment>
    <comment ref="AW15" authorId="0">
      <text>
        <r>
          <rPr>
            <sz val="10"/>
            <color indexed="81"/>
            <rFont val="Tahoma"/>
            <family val="2"/>
          </rPr>
          <t xml:space="preserve">Nur M und O sind erlaubt &gt;&gt;&gt; erwartet: leerer STRING
</t>
        </r>
      </text>
    </comment>
    <comment ref="BW15" authorId="0">
      <text>
        <r>
          <rPr>
            <sz val="12"/>
            <color indexed="81"/>
            <rFont val="Tahoma"/>
            <family val="2"/>
          </rPr>
          <t>Umwandlung , in .-Delimiter durch Angabe des Datentyps = FLOAT</t>
        </r>
      </text>
    </comment>
    <comment ref="BN18" authorId="1">
      <text>
        <r>
          <rPr>
            <b/>
            <sz val="9"/>
            <color indexed="81"/>
            <rFont val="Segoe UI"/>
            <family val="2"/>
          </rPr>
          <t>Heintges, Karen:</t>
        </r>
        <r>
          <rPr>
            <sz val="9"/>
            <color indexed="81"/>
            <rFont val="Segoe UI"/>
            <family val="2"/>
          </rPr>
          <t xml:space="preserve">
fehlt im XML ! Bisher wurde &lt;externalSampleId&gt;A900999301&lt;/externalSampleId&gt; ist aber viel zu groß!!</t>
        </r>
      </text>
    </comment>
    <comment ref="BV19" authorId="0">
      <text>
        <r>
          <rPr>
            <sz val="12"/>
            <color indexed="81"/>
            <rFont val="Tahoma"/>
            <family val="2"/>
          </rPr>
          <t xml:space="preserve">Normalerweise NICHT verwenden (Analytik über analytic scope)
</t>
        </r>
      </text>
    </comment>
    <comment ref="BW19" authorId="0">
      <text>
        <r>
          <rPr>
            <sz val="12"/>
            <color indexed="81"/>
            <rFont val="Tahoma"/>
            <family val="2"/>
          </rPr>
          <t xml:space="preserve">Normalerweise NICHT verwenden Preise werden nicht über Probe vergeben
</t>
        </r>
      </text>
    </comment>
    <comment ref="BX19" authorId="0">
      <text>
        <r>
          <rPr>
            <sz val="12"/>
            <color indexed="81"/>
            <rFont val="Tahoma"/>
            <family val="2"/>
          </rPr>
          <t xml:space="preserve">Normalerweise NICHT verwenden (soll über PEK gesetzt werden)
</t>
        </r>
      </text>
    </comment>
  </commentList>
</comments>
</file>

<file path=xl/sharedStrings.xml><?xml version="1.0" encoding="utf-8"?>
<sst xmlns="http://schemas.openxmlformats.org/spreadsheetml/2006/main" count="1614" uniqueCount="977">
  <si>
    <t>Tracking ID Paketdienst</t>
  </si>
  <si>
    <t>Orange Felder sind Pflichtfelder</t>
  </si>
  <si>
    <t>Beauftragtes Labor</t>
  </si>
  <si>
    <t>Landwirtschaftlicher Betrieb</t>
  </si>
  <si>
    <t>Rechnungsnehmer (falls abweichend)</t>
  </si>
  <si>
    <t>Kundennummer AGROLAB</t>
  </si>
  <si>
    <t>Kd.Nr. AGROLAB</t>
  </si>
  <si>
    <t>Kundennummer Auftraggeber</t>
  </si>
  <si>
    <t>Kd.Nr. Auftraggeber</t>
  </si>
  <si>
    <t>Name</t>
  </si>
  <si>
    <t>Vorname</t>
  </si>
  <si>
    <t>Straße Nr.</t>
  </si>
  <si>
    <t>PLZ</t>
  </si>
  <si>
    <t>Ort</t>
  </si>
  <si>
    <t>e-mail</t>
  </si>
  <si>
    <t>Telefon</t>
  </si>
  <si>
    <t>Land</t>
  </si>
  <si>
    <t>Bundesland</t>
  </si>
  <si>
    <t>MWSt - VAT-No.</t>
  </si>
  <si>
    <t>Kopie des Befundes an:</t>
  </si>
  <si>
    <t>Auftragsname</t>
  </si>
  <si>
    <t>e-mail(s) (,-getrennt)</t>
  </si>
  <si>
    <t>Projektnr. Agrolab</t>
  </si>
  <si>
    <t>Trockengebiet</t>
  </si>
  <si>
    <t>Probenahme</t>
  </si>
  <si>
    <t>Boden schwer</t>
  </si>
  <si>
    <t>Probenehmer-No.</t>
  </si>
  <si>
    <t>WerberNr.</t>
  </si>
  <si>
    <t>für Düngeempfehlung</t>
  </si>
  <si>
    <t>PN Auftragsnr.</t>
  </si>
  <si>
    <t>Preisliste</t>
  </si>
  <si>
    <t>Probenahmedatum</t>
  </si>
  <si>
    <t>TT.MM.JJJJ</t>
  </si>
  <si>
    <t>PN-Preis/Probe</t>
  </si>
  <si>
    <t>€/Probe</t>
  </si>
  <si>
    <t>PN-Preis/ha</t>
  </si>
  <si>
    <t>€/ha</t>
  </si>
  <si>
    <t>ha bei PN-Preis/ha</t>
  </si>
  <si>
    <t>ha</t>
  </si>
  <si>
    <t>Fahrtkosten pauschal</t>
  </si>
  <si>
    <t>€</t>
  </si>
  <si>
    <t>Fahrtkosten / km</t>
  </si>
  <si>
    <t>€/km</t>
  </si>
  <si>
    <t>gefahrene Km</t>
  </si>
  <si>
    <t>km</t>
  </si>
  <si>
    <t xml:space="preserve">Ich akzeptiere die AGB der AGROLAB GmbH </t>
  </si>
  <si>
    <t>Ja</t>
  </si>
  <si>
    <t>https://www.agrolab.com/de/agb.html</t>
  </si>
  <si>
    <t>Proben und Analysenumfang</t>
  </si>
  <si>
    <t>Kundenangabe</t>
  </si>
  <si>
    <t>Analysenumfang - bitte ankreuzen</t>
  </si>
  <si>
    <t>Bemerkung 1 (Bemerkungenwerden nicht an AGROLAB übermittelt)</t>
  </si>
  <si>
    <t>Bemerkung 2 (Bemerkungenwerden nicht an AGROLAB übermittelt)</t>
  </si>
  <si>
    <t>Bemerkung 3 (Bemerkungenwerden nicht an AGROLAB übermittelt)</t>
  </si>
  <si>
    <t>lfd.Nr. /GPS</t>
  </si>
  <si>
    <t>Tütenbarcode</t>
  </si>
  <si>
    <t>Schlagnr.</t>
  </si>
  <si>
    <t>Teilschlagnr.</t>
  </si>
  <si>
    <t>Schlagname</t>
  </si>
  <si>
    <t>Erweiterung Schlagname</t>
  </si>
  <si>
    <t>Schlag-größe
[ha]</t>
  </si>
  <si>
    <t>Proben-
Fläche
[ha]</t>
  </si>
  <si>
    <t>Nutzung 
[A/W/R/O/H/U]</t>
  </si>
  <si>
    <t>Ernte-reste abg.
[j/n]</t>
  </si>
  <si>
    <t>Transport-
tracking-nr.</t>
  </si>
  <si>
    <t>Bodenart</t>
  </si>
  <si>
    <t>Humusstufe</t>
  </si>
  <si>
    <t>Standard pH/P/K/Mg</t>
  </si>
  <si>
    <t>Spuren CAT
Na,Mn,Cu,B,Zn</t>
  </si>
  <si>
    <t>Humusgehalt</t>
  </si>
  <si>
    <t>C/N-Verhältnis</t>
  </si>
  <si>
    <t>Kali-Fixierung</t>
  </si>
  <si>
    <t>Calcium</t>
  </si>
  <si>
    <t>KAK eff</t>
  </si>
  <si>
    <t>KAK pot</t>
  </si>
  <si>
    <t>Korngrößen-verteilung</t>
  </si>
  <si>
    <t>P-Freisetzungs-rate</t>
  </si>
  <si>
    <t>s. Codeliste</t>
  </si>
  <si>
    <t>Bemerkung 2</t>
  </si>
  <si>
    <t>Bemerkung 22</t>
  </si>
  <si>
    <t>Bemerkung 3</t>
  </si>
  <si>
    <t>S-Erweiterung</t>
  </si>
  <si>
    <t>Spalte3</t>
  </si>
  <si>
    <t>Spalte4</t>
  </si>
  <si>
    <t>Spalte2</t>
  </si>
  <si>
    <t>Spalte1</t>
  </si>
  <si>
    <t>Einstellungen</t>
  </si>
  <si>
    <t>Version</t>
  </si>
  <si>
    <t>1.01</t>
  </si>
  <si>
    <t>Name für Wiederverwertung</t>
  </si>
  <si>
    <t>* Wenn eine alte Datei (xlsm) wiederverwertet wird, muß das alte erzeugte rote Excel-Tabellenblatt manuell gelöscht werden (rechte Maustaste auf Reiter -&gt; Löschen)</t>
  </si>
  <si>
    <t>schwer</t>
  </si>
  <si>
    <t>Labor</t>
  </si>
  <si>
    <t>Anzahl Proben</t>
  </si>
  <si>
    <t>Datum</t>
  </si>
  <si>
    <t>1         Allgemein</t>
  </si>
  <si>
    <t>Während die rohen Daten auch auf typischen mobilen Geräten (Handys, Tablets) eingegeben werden können, bedarf es für die Ausführung der Makros einen PC (desktop oder laptop)</t>
  </si>
  <si>
    <t>2         Einstellungen (Einmalig in Vorlage)</t>
  </si>
  <si>
    <t>Im Verlauf des Makro-Ablaufes werden folgende Dateien erzeugt: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</si>
  <si>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csv-Datei – diese wird an Agrolab übermittelt und stellt den eigentlichen digitalen Auftrag dar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</si>
  <si>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xlsm-Datei: Diese dient dem Auftraggeber als Quittung. Sie kann auch für zukünftige Aufträge als dPBS wiederverwendet werden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</si>
  <si>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pdf-Datei als Probenbegleitschein. Dieser sollte ausgedruckt und der Kiste mit Proben beigefügt werden</t>
    </r>
  </si>
  <si>
    <t>Die Pfade auf dem PC, in dem die Dateien gespeichert werden sollen, werden im dPBS festgelegt (einmalig in der xmlt-Datei:</t>
  </si>
  <si>
    <t>z.B.:</t>
  </si>
  <si>
    <t>3         typischer Prozess</t>
  </si>
  <si>
    <t>(-beauftragtes Labor</t>
  </si>
  <si>
    <t>-landw. Betrieb</t>
  </si>
  <si>
    <t>- Auftraggeber (falls vom landw. Betrieb abweichend)</t>
  </si>
  <si>
    <t>- Auftragsdetails wie z.B. Fruchtfolge</t>
  </si>
  <si>
    <t>- PN-Details)</t>
  </si>
  <si>
    <t>extrem wichtig: Tütenbarcode – das ist das einzige Erkennungsmerkmal der Probe, die physisch im Labor eintrifft!</t>
  </si>
  <si>
    <t>folgende Dateien werden erzeugt:</t>
  </si>
  <si>
    <r>
      <t>3.2.2</t>
    </r>
    <r>
      <rPr>
        <sz val="7"/>
        <color theme="1"/>
        <rFont val="Times New Roman"/>
        <family val="1"/>
      </rPr>
      <t xml:space="preserve">  </t>
    </r>
    <r>
      <rPr>
        <b/>
        <sz val="11"/>
        <color theme="1"/>
        <rFont val="Arial"/>
        <family val="2"/>
      </rPr>
      <t>xlsm-Datei</t>
    </r>
    <r>
      <rPr>
        <sz val="11"/>
        <color theme="1"/>
        <rFont val="Arial"/>
        <family val="2"/>
      </rPr>
      <t>: Diese dient dem Auftraggeber als Quittung. Sie kann auch für zukünftige Aufträge als dPBS wiederverwendet werden</t>
    </r>
  </si>
  <si>
    <t>4        Wiederverwerten alter xlsm-Quittungen für neue Aufträge</t>
  </si>
  <si>
    <r>
      <t xml:space="preserve">Sie können "alte" xlsm-Quittungen nutzen, um neue Untersuchungsaufträge zu erzeugen. Dabei werden nur sehr wenige Einträge aus der alten Quittung gelöscht – Probenahmedatum und Tütenbarcodes. </t>
    </r>
    <r>
      <rPr>
        <i/>
        <sz val="11"/>
        <color rgb="FFFF6600"/>
        <rFont val="Arial"/>
        <family val="2"/>
      </rPr>
      <t>Entsprechend wichtig ist, dass Sie ALLE Daten bei Nutzung dieser Funktion auf Aktualität und Richtigkeit prüfen!</t>
    </r>
  </si>
  <si>
    <t>Speichern Sie noch nicht – das geschieht im nächsten Schritt</t>
  </si>
  <si>
    <t>Starten Sie das orange Makro</t>
  </si>
  <si>
    <t>Es wird im Quittungsordner eine zusätzliche  xlsm-Datei "für Wiederverwertung" erzeugt (,die Sie in der Regel nicht wieder benötigen)</t>
  </si>
  <si>
    <t>Folgen Sie allen Punkten aus Kapitel 3</t>
  </si>
  <si>
    <t>sehr wichtig dabei: Überprüfung der übernommenen Daten in den gelben Arbeitsblättern "Auftragsdaten" und  "Proben"</t>
  </si>
  <si>
    <t>5  weitere Erläuterungen</t>
  </si>
  <si>
    <t>Bei Eingabe der Tütenbarcodes in Arbeitsblatt Tabellen werden folgende Probleme angezeigt:</t>
  </si>
  <si>
    <t>Nutzung</t>
  </si>
  <si>
    <t>Erntereste</t>
  </si>
  <si>
    <t>Kulturen</t>
  </si>
  <si>
    <t>Abkürzung Nutzung</t>
  </si>
  <si>
    <t>Langtext Nutzung</t>
  </si>
  <si>
    <t>Abkürzung Erntereste</t>
  </si>
  <si>
    <t>Langtext Erntereste</t>
  </si>
  <si>
    <t>Prio</t>
  </si>
  <si>
    <t>Sortierung</t>
  </si>
  <si>
    <t>FRUART</t>
  </si>
  <si>
    <t>FRUARTTEXT</t>
  </si>
  <si>
    <t>P2O5</t>
  </si>
  <si>
    <t>K2O</t>
  </si>
  <si>
    <t>ERTRAG</t>
  </si>
  <si>
    <t>P2O5_BRUTTO</t>
  </si>
  <si>
    <t>K2O_BRUTTO</t>
  </si>
  <si>
    <t>A</t>
  </si>
  <si>
    <t>Acker</t>
  </si>
  <si>
    <t>Fruchtarten</t>
  </si>
  <si>
    <t>W</t>
  </si>
  <si>
    <t>Grünland</t>
  </si>
  <si>
    <t>Nein</t>
  </si>
  <si>
    <t>AG</t>
  </si>
  <si>
    <t>Ackergras</t>
  </si>
  <si>
    <t>O</t>
  </si>
  <si>
    <t>Obst</t>
  </si>
  <si>
    <t>AGT</t>
  </si>
  <si>
    <t>Ackergras (TM)</t>
  </si>
  <si>
    <t>R</t>
  </si>
  <si>
    <t>Rebe</t>
  </si>
  <si>
    <t>BLU</t>
  </si>
  <si>
    <t>Blumenkohl</t>
  </si>
  <si>
    <t>H</t>
  </si>
  <si>
    <t>Hopfen</t>
  </si>
  <si>
    <t>DK</t>
  </si>
  <si>
    <t>Dinkel</t>
  </si>
  <si>
    <t>U</t>
  </si>
  <si>
    <t>Übrige</t>
  </si>
  <si>
    <t>DR</t>
  </si>
  <si>
    <t>Durum</t>
  </si>
  <si>
    <t>EB</t>
  </si>
  <si>
    <t>Erbsen (Körner)</t>
  </si>
  <si>
    <t>ERB</t>
  </si>
  <si>
    <t>Erdbeeren</t>
  </si>
  <si>
    <t>AGB akzeptieren</t>
  </si>
  <si>
    <t>Status</t>
  </si>
  <si>
    <t>FES</t>
  </si>
  <si>
    <t>Feldsalat</t>
  </si>
  <si>
    <t>FRG</t>
  </si>
  <si>
    <t>Futterrübe - Gehalt</t>
  </si>
  <si>
    <t>FRM</t>
  </si>
  <si>
    <t>Futterrübe - Masse</t>
  </si>
  <si>
    <t>FRT</t>
  </si>
  <si>
    <t>Futterrübe (TM)</t>
  </si>
  <si>
    <t>Analyseumpfang</t>
  </si>
  <si>
    <t>Auswahl</t>
  </si>
  <si>
    <t>GR1</t>
  </si>
  <si>
    <t>Grünland 1 Nutzung</t>
  </si>
  <si>
    <t>X</t>
  </si>
  <si>
    <t>GR2</t>
  </si>
  <si>
    <t>Grünland 2 Nutzungen</t>
  </si>
  <si>
    <t>Standort</t>
  </si>
  <si>
    <t>Kürzel</t>
  </si>
  <si>
    <t>Nr</t>
  </si>
  <si>
    <t>GR3</t>
  </si>
  <si>
    <t>Grünland 3 Nutzungen</t>
  </si>
  <si>
    <t>Sarstedt</t>
  </si>
  <si>
    <t>KOLD</t>
  </si>
  <si>
    <t>GR4</t>
  </si>
  <si>
    <t>Grünland 4 Nutzungen</t>
  </si>
  <si>
    <t>Leinefelde</t>
  </si>
  <si>
    <t>AAZL</t>
  </si>
  <si>
    <t>Auftrag je Schlag</t>
  </si>
  <si>
    <t>GR5</t>
  </si>
  <si>
    <t>Grünland 5 Nutzungen</t>
  </si>
  <si>
    <t xml:space="preserve"> </t>
  </si>
  <si>
    <t>HA</t>
  </si>
  <si>
    <t>Hafer</t>
  </si>
  <si>
    <t>HF</t>
  </si>
  <si>
    <t>Hanf</t>
  </si>
  <si>
    <t>Extraktion</t>
  </si>
  <si>
    <t>HBE</t>
  </si>
  <si>
    <t>Himbeere</t>
  </si>
  <si>
    <t>JBE</t>
  </si>
  <si>
    <t>Johannisbeere</t>
  </si>
  <si>
    <t>Abkürzung</t>
  </si>
  <si>
    <t>Lang</t>
  </si>
  <si>
    <t>JOK</t>
  </si>
  <si>
    <t>Johanniskraut</t>
  </si>
  <si>
    <t>CAL</t>
  </si>
  <si>
    <t>Calcium-Acetat-Lactat</t>
  </si>
  <si>
    <t>KA</t>
  </si>
  <si>
    <t>Kartoffeln</t>
  </si>
  <si>
    <t>DL</t>
  </si>
  <si>
    <t>Doppel-Lactat</t>
  </si>
  <si>
    <t>KST</t>
  </si>
  <si>
    <t>KEO</t>
  </si>
  <si>
    <t>Kernobst</t>
  </si>
  <si>
    <t>KLV</t>
  </si>
  <si>
    <t>Klee-,Luzerneverm.</t>
  </si>
  <si>
    <t>KGT</t>
  </si>
  <si>
    <t>Kleegras (TM)</t>
  </si>
  <si>
    <t>LUV</t>
  </si>
  <si>
    <t>Klee-Luzerneverm.</t>
  </si>
  <si>
    <t>KLB</t>
  </si>
  <si>
    <t>Kohlrabi</t>
  </si>
  <si>
    <t>KM</t>
  </si>
  <si>
    <t>Körnermais</t>
  </si>
  <si>
    <t>KS</t>
  </si>
  <si>
    <t>Körnersenf</t>
  </si>
  <si>
    <t>LP</t>
  </si>
  <si>
    <t>Lupine</t>
  </si>
  <si>
    <t>LUZ</t>
  </si>
  <si>
    <t>Luzerne</t>
  </si>
  <si>
    <t>Boden schwer Belgien</t>
  </si>
  <si>
    <t>LZT</t>
  </si>
  <si>
    <t>Luzerne (TM)</t>
  </si>
  <si>
    <t>LGT</t>
  </si>
  <si>
    <t>Luzernegras (TM)</t>
  </si>
  <si>
    <t>1MW1</t>
  </si>
  <si>
    <t>Mähweide, 1 Schnitt</t>
  </si>
  <si>
    <t>MW2</t>
  </si>
  <si>
    <t>Mähweide, 2 Schnitte</t>
  </si>
  <si>
    <t>MW3</t>
  </si>
  <si>
    <t>Mähweide, 3 Schnitte</t>
  </si>
  <si>
    <t>MW4</t>
  </si>
  <si>
    <t>Mähweide, 4 Schnitte</t>
  </si>
  <si>
    <t>MWE</t>
  </si>
  <si>
    <t>Mähweide, extensiv</t>
  </si>
  <si>
    <t>MAI</t>
  </si>
  <si>
    <t>Mairübe</t>
  </si>
  <si>
    <t>MOB</t>
  </si>
  <si>
    <t>Möhren, Bund-</t>
  </si>
  <si>
    <t>MOW</t>
  </si>
  <si>
    <t>Möhren, Wasch-</t>
  </si>
  <si>
    <t>LEI</t>
  </si>
  <si>
    <t>Öllein</t>
  </si>
  <si>
    <t>LN</t>
  </si>
  <si>
    <t>Öllein (91 % TS)</t>
  </si>
  <si>
    <t>POR</t>
  </si>
  <si>
    <t>Porree</t>
  </si>
  <si>
    <t>RAD</t>
  </si>
  <si>
    <t>Radies</t>
  </si>
  <si>
    <t>SEL</t>
  </si>
  <si>
    <t>Sellerie</t>
  </si>
  <si>
    <t>SEB</t>
  </si>
  <si>
    <t>Sellerie, Bund-</t>
  </si>
  <si>
    <t>SEK</t>
  </si>
  <si>
    <t>Sellerie, Knollen-</t>
  </si>
  <si>
    <t>SES</t>
  </si>
  <si>
    <t>Sellerie, Stangen-</t>
  </si>
  <si>
    <t>SM</t>
  </si>
  <si>
    <t>Silomais</t>
  </si>
  <si>
    <t>SMT</t>
  </si>
  <si>
    <t>Silomais (TM)</t>
  </si>
  <si>
    <t>SOB</t>
  </si>
  <si>
    <t>Sojabohnen</t>
  </si>
  <si>
    <t>SGB</t>
  </si>
  <si>
    <t>Sommerbraugerste</t>
  </si>
  <si>
    <t>SG</t>
  </si>
  <si>
    <t>Sommergerste (Fut.)</t>
  </si>
  <si>
    <t>RS</t>
  </si>
  <si>
    <t>Sommerraps</t>
  </si>
  <si>
    <t>SR</t>
  </si>
  <si>
    <t>Sommerroggen</t>
  </si>
  <si>
    <t>SW</t>
  </si>
  <si>
    <t>Sommerweizen</t>
  </si>
  <si>
    <t>SB</t>
  </si>
  <si>
    <t>Sonnenblumen</t>
  </si>
  <si>
    <t>SPA</t>
  </si>
  <si>
    <t>Spargel</t>
  </si>
  <si>
    <t>SPAR</t>
  </si>
  <si>
    <t>STO</t>
  </si>
  <si>
    <t>Steinobst</t>
  </si>
  <si>
    <t>TR</t>
  </si>
  <si>
    <t>Triticale</t>
  </si>
  <si>
    <t>WEI</t>
  </si>
  <si>
    <t>Weide</t>
  </si>
  <si>
    <t>WGB</t>
  </si>
  <si>
    <t>Winterbraugerste</t>
  </si>
  <si>
    <t>WWB</t>
  </si>
  <si>
    <t>Winterbrauweizen</t>
  </si>
  <si>
    <t>WG</t>
  </si>
  <si>
    <t>Wintergerste</t>
  </si>
  <si>
    <t>RW</t>
  </si>
  <si>
    <t>Winterraps</t>
  </si>
  <si>
    <t>WR</t>
  </si>
  <si>
    <t>Winterroggen</t>
  </si>
  <si>
    <t>WW</t>
  </si>
  <si>
    <t>Winterweizen</t>
  </si>
  <si>
    <t>ZR</t>
  </si>
  <si>
    <t>Zuckerrüben</t>
  </si>
  <si>
    <t>ZWB</t>
  </si>
  <si>
    <t>Zwiebel, Bund-, früh</t>
  </si>
  <si>
    <t>ZWI</t>
  </si>
  <si>
    <t>Zwiebel, Bund-, wint</t>
  </si>
  <si>
    <t>Blatt</t>
  </si>
  <si>
    <t>Änderung</t>
  </si>
  <si>
    <t>Benutzer</t>
  </si>
  <si>
    <t>auf Version</t>
  </si>
  <si>
    <t>1.02</t>
  </si>
  <si>
    <t>Z</t>
  </si>
  <si>
    <t>Probenart,BNS</t>
  </si>
  <si>
    <t>Paketdienst-Tracking</t>
  </si>
  <si>
    <t>Speichername</t>
  </si>
  <si>
    <t>lab-interne Info</t>
  </si>
  <si>
    <t>ldw. Betrieb</t>
  </si>
  <si>
    <t>Kundennummer AL</t>
  </si>
  <si>
    <t>Kundennummer Kd</t>
  </si>
  <si>
    <t>Rechnungsnehmer</t>
  </si>
  <si>
    <t>Kd.Nr. AL</t>
  </si>
  <si>
    <t>Kd.Nr. Kd</t>
  </si>
  <si>
    <t>Auftragsebene</t>
  </si>
  <si>
    <t>Projekt AL</t>
  </si>
  <si>
    <t>A-Name</t>
  </si>
  <si>
    <t>CAL/DL</t>
  </si>
  <si>
    <t>NICHT-Trocken</t>
  </si>
  <si>
    <t>1 Auftrag/Schlag</t>
  </si>
  <si>
    <t>E</t>
  </si>
  <si>
    <r>
      <t>Probenehmer</t>
    </r>
    <r>
      <rPr>
        <b/>
        <sz val="11"/>
        <color theme="1"/>
        <rFont val="Calibri"/>
        <family val="2"/>
        <scheme val="minor"/>
      </rPr>
      <t>No.</t>
    </r>
  </si>
  <si>
    <t>WerberNo</t>
  </si>
  <si>
    <t>PN-AuftragsNr</t>
  </si>
  <si>
    <t>Fahrtkosten</t>
  </si>
  <si>
    <t>Fahrtkosten/km</t>
  </si>
  <si>
    <t>AnzahlProben</t>
  </si>
  <si>
    <t>Frucht1</t>
  </si>
  <si>
    <t>Frucht2</t>
  </si>
  <si>
    <t>Frucht3</t>
  </si>
  <si>
    <t>Frucht4</t>
  </si>
  <si>
    <t>Frucht5</t>
  </si>
  <si>
    <t>Frucht6</t>
  </si>
  <si>
    <t>Frucht7</t>
  </si>
  <si>
    <t>Ertrag1</t>
  </si>
  <si>
    <t>Ertrag2</t>
  </si>
  <si>
    <t>Ertrag3</t>
  </si>
  <si>
    <t>Ertrag4</t>
  </si>
  <si>
    <t>Ertrag5</t>
  </si>
  <si>
    <t>Ertrag6</t>
  </si>
  <si>
    <t>Ertrag7</t>
  </si>
  <si>
    <t>Proben und Untersuchung</t>
  </si>
  <si>
    <t>Humusklasse</t>
  </si>
  <si>
    <t>Nmin 7900</t>
  </si>
  <si>
    <t>Smin-Zusatz 7901</t>
  </si>
  <si>
    <t>Nmin TP 1:1 7940</t>
  </si>
  <si>
    <t>Smin-Zusatz TP 1:1 7941</t>
  </si>
  <si>
    <t>Nmin TP 1:4 7920</t>
  </si>
  <si>
    <t>Smin-Zusatz TP 1:4 7921</t>
  </si>
  <si>
    <t>DüngEmpf N+S 7990</t>
  </si>
  <si>
    <t>DüngEmpf N 7991</t>
  </si>
  <si>
    <t>s. Codeliste 1</t>
  </si>
  <si>
    <t>s. Codeliste2</t>
  </si>
  <si>
    <t>PN-Bodenart</t>
  </si>
  <si>
    <t xml:space="preserve"> LOT. ACKERZAHL</t>
  </si>
  <si>
    <t xml:space="preserve"> LOT. BARCODE</t>
  </si>
  <si>
    <t xml:space="preserve"> LOT. BODENKLIMARAUM</t>
  </si>
  <si>
    <t xml:space="preserve"> LOT. BODENZAHL  (Gesetzt auf NULL)</t>
  </si>
  <si>
    <t xml:space="preserve"> LOT. ENTSTEHUNG</t>
  </si>
  <si>
    <t xml:space="preserve"> LOT. FELDBLOCK</t>
  </si>
  <si>
    <t xml:space="preserve"> LOT. FID</t>
  </si>
  <si>
    <t xml:space="preserve"> LOT. HOEHENN</t>
  </si>
  <si>
    <t xml:space="preserve"> LOT. WASSERSCHUTZGEBIET</t>
  </si>
  <si>
    <t>LOT_ORDER.NUTZUNG</t>
  </si>
  <si>
    <t>LOT_ORDER.DURCHWURZELUNGSTIEFE</t>
  </si>
  <si>
    <t>LOT_ORDER.GUELLE</t>
  </si>
  <si>
    <t>LOT_ORDER.HUMUSSTUFE</t>
  </si>
  <si>
    <t>LOT_ORDER.SCHLAG_ZUSATZ</t>
  </si>
  <si>
    <t>PNSTELLE_BODEN.FLURNR</t>
  </si>
  <si>
    <t>PNSTELLE_BODEN.FLURST</t>
  </si>
  <si>
    <t>PNSTELLE_BODEN.GEMARKUNG</t>
  </si>
  <si>
    <t>PNSTELLE_BODEN.GPS_HWERT</t>
  </si>
  <si>
    <t>PNSTELLE_BODEN.GPS_RWERT</t>
  </si>
  <si>
    <t>PNSTELLE_BODEN.GPSNR</t>
  </si>
  <si>
    <t>PNSTELLE_BODEN.LFDNR</t>
  </si>
  <si>
    <t>PNSTELLE_BODEN.SCHLAGNR2</t>
  </si>
  <si>
    <t>PROBE_BODEN.ANALYART_ERFASSUNG</t>
  </si>
  <si>
    <t>PROBE_BODEN.BODARTCOD</t>
  </si>
  <si>
    <t>PROBE_BODEN.BODTYP</t>
  </si>
  <si>
    <t>PROBE_BODEN.PNTIEFE</t>
  </si>
  <si>
    <t>PROBE_BODEN.PNTIEFE_CM</t>
  </si>
  <si>
    <t>PROBE_BODEN.PNTIEFE_CM_VON</t>
  </si>
  <si>
    <t>PROBE_BODEN.PROBENR</t>
  </si>
  <si>
    <t>PROBE_BODEN.S_ERW</t>
  </si>
  <si>
    <t>PROBE_BODEN.SCHICHT</t>
  </si>
  <si>
    <t>PROBE_BODEN.STEINGEHALT</t>
  </si>
  <si>
    <t>Erhebwert_N1</t>
  </si>
  <si>
    <t>Erhebwert_N2</t>
  </si>
  <si>
    <t>Erhebwert_N3</t>
  </si>
  <si>
    <t>Erhebwert_N4</t>
  </si>
  <si>
    <t>Analysepaket_Probe</t>
  </si>
  <si>
    <t>Preis_Probe</t>
  </si>
  <si>
    <t>arrival date</t>
  </si>
  <si>
    <t>ERHEBDATEN.ZU_ANALYSENUMFANG (C1)</t>
  </si>
  <si>
    <t>ERHEBDATEN.PROBENSPEZ_1 (C4)</t>
  </si>
  <si>
    <t>ERHEBDATEN.PROBENSPEZ_2 (C5)</t>
  </si>
  <si>
    <t>ERHEBDATEN.PROBENSPEZ_3 (WertC1)</t>
  </si>
  <si>
    <t>EXTRA_N1
(N1)</t>
  </si>
  <si>
    <t>BODENART_KUNDE
(N2)</t>
  </si>
  <si>
    <t>HUMUSKLASSE_KUNDE (N3)</t>
  </si>
  <si>
    <t>BODENGRUPPE_KUNDE (N4)</t>
  </si>
  <si>
    <t>LOT_ATTRIBUTE.ACKER_ZAHL</t>
  </si>
  <si>
    <t>LOT_ATTRIBUTE.BBART1</t>
  </si>
  <si>
    <t>LOT_ATTRIBUTE.BBART2</t>
  </si>
  <si>
    <t>LOT_ATTRIBUTE.BBART3</t>
  </si>
  <si>
    <t>LOT_ATTRIBUTE.BBART4</t>
  </si>
  <si>
    <t>LOT_ATTRIBUTE.BBDATUM1</t>
  </si>
  <si>
    <t>LOT_ATTRIBUTE.BBDATUM2</t>
  </si>
  <si>
    <t>LOT_ATTRIBUTE.BBDATUM3</t>
  </si>
  <si>
    <t>LOT_ATTRIBUTE.BBDATUM4</t>
  </si>
  <si>
    <t>LOT_ATTRIBUTE.BEFU_SCHLAGNR</t>
  </si>
  <si>
    <t>LOT_ATTRIBUTE.BODENTIEFE</t>
  </si>
  <si>
    <t>LOT_ATTRIBUTE.DIRSAAT</t>
  </si>
  <si>
    <t>LOT_ATTRIBUTE.FOLGEFRUCHT</t>
  </si>
  <si>
    <t>LOT_ATTRIBUTE.GR_BODENW</t>
  </si>
  <si>
    <t>LOT_ATTRIBUTE.GR_TYP</t>
  </si>
  <si>
    <t>LOT_ATTRIBUTE.GRDUENG</t>
  </si>
  <si>
    <t>LOT_ATTRIBUTE.HALMSTAB</t>
  </si>
  <si>
    <t>LOT_ATTRIBUTE.LANGJ_NS</t>
  </si>
  <si>
    <t>LOT_ATTRIBUTE.LOT_INFO</t>
  </si>
  <si>
    <t>LOT_ATTRIBUTE.MDHERBST</t>
  </si>
  <si>
    <t>LOT_ATTRIBUTE.N_MIN_BIS</t>
  </si>
  <si>
    <t>LOT_ATTRIBUTE.OEKOANB</t>
  </si>
  <si>
    <t>LOT_ATTRIBUTE.PRODZIEL</t>
  </si>
  <si>
    <t>LOT_ATTRIBUTE.QUALGABE</t>
  </si>
  <si>
    <t>LOT_ATTRIBUTE.SAATTERMIN</t>
  </si>
  <si>
    <t>LOT_ATTRIBUTE.STEINE</t>
  </si>
  <si>
    <t>LOT_ATTRIBUTE.TIERART</t>
  </si>
  <si>
    <t>LOT_ATTRIBUTE.VANBAU</t>
  </si>
  <si>
    <t>LOT_ATTRIBUTE.VIEHBESATZ</t>
  </si>
  <si>
    <t>LOT_ATTRIBUTE.VIEHLOS</t>
  </si>
  <si>
    <t>LOT_ATTRIBUTE.WDGV1</t>
  </si>
  <si>
    <t>LOT_ATTRIBUTE.WDLJ</t>
  </si>
  <si>
    <t>LOT_ATTRIBUTE.WDTS1</t>
  </si>
  <si>
    <t>LOT_ATTRIBUTE.WDTS2</t>
  </si>
  <si>
    <t>LOT_CROP.ABFUHR_GANZE_PFLANZE</t>
  </si>
  <si>
    <t>LOT_CROP.ABGEFROREN</t>
  </si>
  <si>
    <t>LOT_CROP.ANBAU_DATUM+PC</t>
  </si>
  <si>
    <t>LOT_CROP.ANBAU_DATUM</t>
  </si>
  <si>
    <t>LOT_CROP.BEREGNUNG</t>
  </si>
  <si>
    <t>LOT_CROP.BESTANDSENTWICKLUNG</t>
  </si>
  <si>
    <t>LOT_CROP.BESTELLUNG</t>
  </si>
  <si>
    <t>LOT_CROP.BODENABDECKUNG</t>
  </si>
  <si>
    <t>LOT_CROP.BRACHE+PC</t>
  </si>
  <si>
    <t>LOT_CROP.BRACHE</t>
  </si>
  <si>
    <t>LOT_CROP.EC</t>
  </si>
  <si>
    <t>LOT_CROP.EINARBEITUNG</t>
  </si>
  <si>
    <t>LOT_CROP.ERNTEJAHR</t>
  </si>
  <si>
    <t>LOT_CROP.ERTRAGSNIVEAU</t>
  </si>
  <si>
    <t>LOT_CROP.ERTRAGSZIEL</t>
  </si>
  <si>
    <t>LOT_CROP.ERTRAGSZIEL+PC</t>
  </si>
  <si>
    <t>LOT_CROP.FRUCHT_ART+PC</t>
  </si>
  <si>
    <t>LOT_CROP.FRUCHT_ART</t>
  </si>
  <si>
    <t>LOT_CROP.KARTOFFEL_GRUPPE</t>
  </si>
  <si>
    <t>LOT_CROP.LEGUMINOSEN</t>
  </si>
  <si>
    <t>LOT_CROP.LEGUMINOSEN_ANTEIL</t>
  </si>
  <si>
    <t>LOT_CROP.MIT_NUTZUNG</t>
  </si>
  <si>
    <t>LOT_CROP.RAPS_BLATTVERLUSTE</t>
  </si>
  <si>
    <t>LOT_CROP.RAPS_SPROSSFRISCHMASSE</t>
  </si>
  <si>
    <t>LOT_CROP.RAPS_WURZELHALSDURCHME</t>
  </si>
  <si>
    <t>LOT_CROP.ROHPROTEIN_GEHALT</t>
  </si>
  <si>
    <t>LOT_CROP.ROTES_GEBIET</t>
  </si>
  <si>
    <t>LOT_CROP.SCHNITT_ANZAHL</t>
  </si>
  <si>
    <t>LOT_CROP.SORTE</t>
  </si>
  <si>
    <t>LOT_CROP.VEGETATIONSBEGINN</t>
  </si>
  <si>
    <t>LOT_CROP.VERWENDUNG</t>
  </si>
  <si>
    <t>LOT_CROP.WEIDE_ANTEIL</t>
  </si>
  <si>
    <t>LOT_CROP.ZWFRUCHT</t>
  </si>
  <si>
    <t>LOT_CROP.ZWFRUEIN</t>
  </si>
  <si>
    <t>LOT_CROP.ZWFRUEINDAT</t>
  </si>
  <si>
    <t>LOT_FERTILIZERS.DUENGER_ART_1</t>
  </si>
  <si>
    <t>LOT_FERTILIZERS.DUENGE_DATUM_1</t>
  </si>
  <si>
    <t>LOT_FERTILIZERS.DUENGER_MENGE_1</t>
  </si>
  <si>
    <t>LOT_FERTILIZERS.STICKSTOFFGEHALT_1</t>
  </si>
  <si>
    <t>LOT_FERTILIZERS.STABIL_NDUENGER_1</t>
  </si>
  <si>
    <t>LOT_FERTILIZERS.DUENGER_ART_2</t>
  </si>
  <si>
    <t>LOT_FERTILIZERS.DUENGE_DATUM_2</t>
  </si>
  <si>
    <t>LOT_FERTILIZERS.DUENGER_MENGE_2</t>
  </si>
  <si>
    <t>LOT_FERTILIZERS.STICKSTOFFGEHALT_2</t>
  </si>
  <si>
    <t>LOT_FERTILIZERS.STABIL_NDUENGER_2</t>
  </si>
  <si>
    <t>LOT_FERTILIZERS.DUENGER_ART_3</t>
  </si>
  <si>
    <t>LOT_FERTILIZERS.DUENGE_DATUM_3</t>
  </si>
  <si>
    <t>LOT_FERTILIZERS.DUENGER_MENGE_3</t>
  </si>
  <si>
    <t>LOT_FERTILIZERS.STICKSTOFFGEHALT_3</t>
  </si>
  <si>
    <t>LOT_FERTILIZERS.STABIL_NDUENGER_3</t>
  </si>
  <si>
    <t>LOT_FERTILIZERS.DUENGER_ART_4</t>
  </si>
  <si>
    <t>LOT_FERTILIZERS.DUENGE_DATUM_4</t>
  </si>
  <si>
    <t>LOT_FERTILIZERS.DUENGER_MENGE_4</t>
  </si>
  <si>
    <t>LOT_FERTILIZERS.STICKSTOFFGEHALT_4</t>
  </si>
  <si>
    <t>LOT_FERTILIZERS.STABIL_NDUENGER_4</t>
  </si>
  <si>
    <t>LOT_FERTILIZERS.DUENGER_ART_5</t>
  </si>
  <si>
    <t>LOT_FERTILIZERS.DUENGE_DATUM_5</t>
  </si>
  <si>
    <t>LOT_FERTILIZERS.DUENGER_MENGE_5</t>
  </si>
  <si>
    <t>LOT_FERTILIZERS.STICKSTOFFGEHALT_5</t>
  </si>
  <si>
    <t>LOT_FERTILIZERS.STABIL_NDUENGER_5</t>
  </si>
  <si>
    <t xml:space="preserve">LF.gm_zf_abgefroren1         </t>
  </si>
  <si>
    <t xml:space="preserve">LF.gm_zf_abgefroren2         </t>
  </si>
  <si>
    <t xml:space="preserve">LF.gm_abgefroren1            </t>
  </si>
  <si>
    <t xml:space="preserve">LF.gm_abgefroren2            </t>
  </si>
  <si>
    <t>LF.STICKSTOFF_GESAMT</t>
  </si>
  <si>
    <t>LEER</t>
  </si>
  <si>
    <t>FB31</t>
  </si>
  <si>
    <t>FID31</t>
  </si>
  <si>
    <t>j</t>
  </si>
  <si>
    <t>n</t>
  </si>
  <si>
    <t>LO-ZUS310</t>
  </si>
  <si>
    <t>F31</t>
  </si>
  <si>
    <t>FS31</t>
  </si>
  <si>
    <t>G31</t>
  </si>
  <si>
    <t>ERF01</t>
  </si>
  <si>
    <t>PRNR310</t>
  </si>
  <si>
    <t>PB_SERW310</t>
  </si>
  <si>
    <t>Zusatzinfo Analyse 1</t>
  </si>
  <si>
    <t>P-Spez1-1</t>
  </si>
  <si>
    <t>P-Spez2-1</t>
  </si>
  <si>
    <t>P-Spez3-1</t>
  </si>
  <si>
    <t>Zusatzinfo Lot</t>
  </si>
  <si>
    <t>Win</t>
  </si>
  <si>
    <t>pfl</t>
  </si>
  <si>
    <t>1SG</t>
  </si>
  <si>
    <t>Sorte1</t>
  </si>
  <si>
    <t>KEB</t>
  </si>
  <si>
    <t>ZFaha</t>
  </si>
  <si>
    <t>LIMS-Ziel-Feld</t>
  </si>
  <si>
    <r>
      <t>pnstelle_boden</t>
    </r>
    <r>
      <rPr>
        <sz val="10"/>
        <color rgb="FF080808"/>
        <rFont val="JetBrains Mono"/>
        <family val="3"/>
      </rPr>
      <t>.</t>
    </r>
    <r>
      <rPr>
        <sz val="10"/>
        <color rgb="FF871094"/>
        <rFont val="JetBrains Mono"/>
        <family val="3"/>
      </rPr>
      <t>gpsnr</t>
    </r>
  </si>
  <si>
    <t>lot.schlagname</t>
  </si>
  <si>
    <r>
      <t>probe_boden</t>
    </r>
    <r>
      <rPr>
        <sz val="10"/>
        <color rgb="FF080808"/>
        <rFont val="JetBrains Mono"/>
        <family val="3"/>
      </rPr>
      <t>.</t>
    </r>
    <r>
      <rPr>
        <sz val="10"/>
        <color rgb="FF871094"/>
        <rFont val="JetBrains Mono"/>
        <family val="3"/>
      </rPr>
      <t>s_erw</t>
    </r>
  </si>
  <si>
    <t>lot.groesse</t>
  </si>
  <si>
    <r>
      <t>pnstelle_boden</t>
    </r>
    <r>
      <rPr>
        <sz val="10"/>
        <color rgb="FF0000FF"/>
        <rFont val="JetBrains Mono"/>
        <family val="3"/>
      </rPr>
      <t>.probflaeche</t>
    </r>
  </si>
  <si>
    <t>lot_order.nutzung</t>
  </si>
  <si>
    <t>ERHBDAT_C5</t>
  </si>
  <si>
    <t>erh_erhebdaten_label_var.value   mit erh_erhebdaten_label_var.label = 'SOIL_TYPE_ST'</t>
  </si>
  <si>
    <t>lot.ackerzahl</t>
  </si>
  <si>
    <t>lot.BodenKlimaRaum</t>
  </si>
  <si>
    <t>lot.entstehung</t>
  </si>
  <si>
    <t>lot.feldblock</t>
  </si>
  <si>
    <t>lot.fid</t>
  </si>
  <si>
    <t>lot.hoehenn</t>
  </si>
  <si>
    <t>lot.wasserschutzgebiet</t>
  </si>
  <si>
    <t>lot_order.durchwurzelungstiefe</t>
  </si>
  <si>
    <t>lot_order.guelle</t>
  </si>
  <si>
    <t>lot_order.humusstufe</t>
  </si>
  <si>
    <t>lot_order.schlag_zusatz</t>
  </si>
  <si>
    <r>
      <t>pnstelle_boden</t>
    </r>
    <r>
      <rPr>
        <sz val="10"/>
        <color rgb="FF0000FF"/>
        <rFont val="JetBrains Mono"/>
        <family val="3"/>
      </rPr>
      <t>.flurnr</t>
    </r>
  </si>
  <si>
    <r>
      <t>pnstelle_boden</t>
    </r>
    <r>
      <rPr>
        <sz val="10"/>
        <color rgb="FF0000FF"/>
        <rFont val="JetBrains Mono"/>
        <family val="3"/>
      </rPr>
      <t>.flurst</t>
    </r>
  </si>
  <si>
    <r>
      <t>pnstelle_boden</t>
    </r>
    <r>
      <rPr>
        <sz val="10"/>
        <color rgb="FF0000FF"/>
        <rFont val="JetBrains Mono"/>
        <family val="3"/>
      </rPr>
      <t>.gemarkung</t>
    </r>
  </si>
  <si>
    <r>
      <t>pnstelle_boden</t>
    </r>
    <r>
      <rPr>
        <sz val="10"/>
        <color rgb="FF0000FF"/>
        <rFont val="JetBrains Mono"/>
        <family val="3"/>
      </rPr>
      <t>.gps_hwert</t>
    </r>
  </si>
  <si>
    <r>
      <t>pnstelle_boden</t>
    </r>
    <r>
      <rPr>
        <sz val="10"/>
        <color rgb="FF0000FF"/>
        <rFont val="JetBrains Mono"/>
        <family val="3"/>
      </rPr>
      <t>.gps_rwert</t>
    </r>
  </si>
  <si>
    <t>pnstelle_boden.gpsnr</t>
  </si>
  <si>
    <r>
      <t>pnstelle_boden</t>
    </r>
    <r>
      <rPr>
        <sz val="10"/>
        <color rgb="FF0000FF"/>
        <rFont val="JetBrains Mono"/>
        <family val="3"/>
      </rPr>
      <t>.lfdnr</t>
    </r>
  </si>
  <si>
    <r>
      <t>pnstelle_boden</t>
    </r>
    <r>
      <rPr>
        <sz val="10"/>
        <color rgb="FF0000FF"/>
        <rFont val="JetBrains Mono"/>
        <family val="3"/>
      </rPr>
      <t>.schlagnr2</t>
    </r>
  </si>
  <si>
    <r>
      <t>probe_boden</t>
    </r>
    <r>
      <rPr>
        <sz val="10"/>
        <color rgb="FF0000FF"/>
        <rFont val="JetBrains Mono"/>
        <family val="3"/>
      </rPr>
      <t>.analyart_erfassung</t>
    </r>
  </si>
  <si>
    <t>probe_boden.bodartcod</t>
  </si>
  <si>
    <t>probe_boden.bodtyp</t>
  </si>
  <si>
    <t xml:space="preserve">probe_boden.pntiefe </t>
  </si>
  <si>
    <t>probe_boden.pntiefe_cm</t>
  </si>
  <si>
    <t>probe_boden.pntiefe_cm_vo</t>
  </si>
  <si>
    <t>probe_boden.probenr</t>
  </si>
  <si>
    <r>
      <t>probe_boden</t>
    </r>
    <r>
      <rPr>
        <sz val="10"/>
        <color rgb="FF0000FF"/>
        <rFont val="JetBrains Mono"/>
        <family val="3"/>
      </rPr>
      <t>.s_erw</t>
    </r>
  </si>
  <si>
    <t xml:space="preserve">probe_boden.schicht </t>
  </si>
  <si>
    <t>probe_boden.steingehalt</t>
  </si>
  <si>
    <t>erhebdaten.erhebwert_n1</t>
  </si>
  <si>
    <t>erhebdaten.erhebwert_n2</t>
  </si>
  <si>
    <t>erhebdaten.erhebwert_n3</t>
  </si>
  <si>
    <t>erhebdaten.erhebwert_n4</t>
  </si>
  <si>
    <t>erhebdaten.paketnr</t>
  </si>
  <si>
    <t>erhebdaten.preis</t>
  </si>
  <si>
    <t>erhebdaten.sample_arrival_date</t>
  </si>
  <si>
    <t>erhebdaten.erhebdat_C1</t>
  </si>
  <si>
    <t>erhebdaten.erhebdat_C4</t>
  </si>
  <si>
    <t>erhebdaten.erhebdat_C5</t>
  </si>
  <si>
    <t>erhebdaten.erhebwert_C1</t>
  </si>
  <si>
    <t>erhebdaten.erhebdat_N1</t>
  </si>
  <si>
    <t>erhebdaten.erhebdat_N2</t>
  </si>
  <si>
    <t>erhebdaten.erhebdat_N3</t>
  </si>
  <si>
    <t>erhebdaten.erhebdat_N4</t>
  </si>
  <si>
    <t>lot_attribute.Acker_Zahl</t>
  </si>
  <si>
    <t>lot_attribute.bbart1</t>
  </si>
  <si>
    <t>lot_attribute.bbart2</t>
  </si>
  <si>
    <t>lot_attribute.bbart3</t>
  </si>
  <si>
    <t>lot_attribute.bbart4</t>
  </si>
  <si>
    <t>lot_attribute.bbdatum1</t>
  </si>
  <si>
    <t>lot_attribute.bbdatum2</t>
  </si>
  <si>
    <t>lot_attribute.bbdatum3</t>
  </si>
  <si>
    <t>lot_attribute.bbdatum4</t>
  </si>
  <si>
    <t>lot_attribute.befu_schlagnr</t>
  </si>
  <si>
    <t>lot_attribute.bodentiefe</t>
  </si>
  <si>
    <t>lot_attribute.dirsaat</t>
  </si>
  <si>
    <t>lot_attribute.folgefrucht</t>
  </si>
  <si>
    <t>lot_attribute.gr_bodenw</t>
  </si>
  <si>
    <t>lot_attribute.gr_typ</t>
  </si>
  <si>
    <t>lot_attribute.grdueng</t>
  </si>
  <si>
    <t>lot_attribute.halmstab</t>
  </si>
  <si>
    <t>lot_attribute.langj_ns</t>
  </si>
  <si>
    <t>lot_attribute.lot_info</t>
  </si>
  <si>
    <t>lot_attribute.mdherbst</t>
  </si>
  <si>
    <t>lot_attribute.n_min_bis</t>
  </si>
  <si>
    <t>lot_attribute.oekoanb</t>
  </si>
  <si>
    <t>lot_attribute.prodziel</t>
  </si>
  <si>
    <t>lot_attribute.qualgabe</t>
  </si>
  <si>
    <t>lot_attribute.saattermin</t>
  </si>
  <si>
    <t>lot_attribute.steine</t>
  </si>
  <si>
    <t>lot_attribute.tierart</t>
  </si>
  <si>
    <t>lot_attribute.vanbau</t>
  </si>
  <si>
    <t>lot_attribute.viehbesatz</t>
  </si>
  <si>
    <t>lot_attribute.viehlos</t>
  </si>
  <si>
    <t>lot_attribute.wdgv1</t>
  </si>
  <si>
    <t>lot_attribute.wdlj</t>
  </si>
  <si>
    <t>lot_attribute.wdts1</t>
  </si>
  <si>
    <t>lot_attribute.wdts2</t>
  </si>
  <si>
    <t>lot_crop.abfuhr_ganze_pflanze</t>
  </si>
  <si>
    <t>Lot_crop.abgefroren</t>
  </si>
  <si>
    <t>lot_crop.anbau_datum</t>
  </si>
  <si>
    <t>lot_crop.beregnung</t>
  </si>
  <si>
    <t>lot_crop.bestandsentwicklung</t>
  </si>
  <si>
    <t>lot_crop.bestellung</t>
  </si>
  <si>
    <t>lot_crop.bodenabdeckung</t>
  </si>
  <si>
    <t>lot_crop.brache</t>
  </si>
  <si>
    <t>lot_crop.ec</t>
  </si>
  <si>
    <t>lot_crop.einarbeitung</t>
  </si>
  <si>
    <t>lot_crop.Abfuhr_ganze_Pflanze</t>
  </si>
  <si>
    <t>lot_crop.erntejahr</t>
  </si>
  <si>
    <t>lot_crop.ErtragsNiveau</t>
  </si>
  <si>
    <t>lot_crop.ertragsziel</t>
  </si>
  <si>
    <t>lot_crop.frucht_art</t>
  </si>
  <si>
    <t>lot_crop.kartoffel_gruppe</t>
  </si>
  <si>
    <t>lot_crop.leguminosen</t>
  </si>
  <si>
    <t>lot_crop.leguminosen_anteil</t>
  </si>
  <si>
    <t>lot_crop.mit_nutzung</t>
  </si>
  <si>
    <t>lot_crop.raps_blattverluste</t>
  </si>
  <si>
    <t>lot_crop.raps_sprossfrischmasse</t>
  </si>
  <si>
    <t>lot_crop.raps_wurzelhalsdurchme</t>
  </si>
  <si>
    <t>lot_crop.rohprotein_gehalt</t>
  </si>
  <si>
    <t>lot_crop.rotes_gebiet</t>
  </si>
  <si>
    <t>lot_crop.schnitt_anzahl</t>
  </si>
  <si>
    <t>lot_crop.sorte</t>
  </si>
  <si>
    <t>lot_crop.vegetationsbeginn</t>
  </si>
  <si>
    <t>lot_crop.verwendung</t>
  </si>
  <si>
    <t>lot_crop.weide_anteil</t>
  </si>
  <si>
    <t>lot_crop.zwfrucht</t>
  </si>
  <si>
    <t>lot_crop.zwfruein</t>
  </si>
  <si>
    <t>lot_crop.zwfrueindat</t>
  </si>
  <si>
    <t>lot_fertilizer.duenger_art</t>
  </si>
  <si>
    <t>lot_fertilizer.duenge_datum</t>
  </si>
  <si>
    <t>lot_fertilizer.duenger_menge</t>
  </si>
  <si>
    <t>lot_fertilizer.stickstoff_gesamt</t>
  </si>
  <si>
    <t>lot_fertilizer.stabil_nduenger</t>
  </si>
  <si>
    <t>lot_fertilizer.abgefroren</t>
  </si>
  <si>
    <t>in LOBSTER-test7 enthalten</t>
  </si>
  <si>
    <t>ja</t>
  </si>
  <si>
    <t>wird auf Null gesetzt - kein service</t>
  </si>
  <si>
    <t>s. auch PBS</t>
  </si>
  <si>
    <t>LIMS-Feldtyp</t>
  </si>
  <si>
    <t>NUMBER</t>
  </si>
  <si>
    <t>VARCHAR2 ( 20 )</t>
  </si>
  <si>
    <t xml:space="preserve">VARCHAR2(15)         </t>
  </si>
  <si>
    <t>NUMBER ( 7,4 )</t>
  </si>
  <si>
    <t>NUMBER (7,4)</t>
  </si>
  <si>
    <t>VARCHAR ( 2 )</t>
  </si>
  <si>
    <t>VARCHAR2(50 char)</t>
  </si>
  <si>
    <t>NUMBER ( 2 )</t>
  </si>
  <si>
    <t>NUMBER ( 3 )</t>
  </si>
  <si>
    <t>VARCHAR2 ( 16 )</t>
  </si>
  <si>
    <t>VARCHAR2 ( 1 )</t>
  </si>
  <si>
    <t xml:space="preserve">NUMBER ( 3,0 ) </t>
  </si>
  <si>
    <t>NUMBER ( 2,0 )</t>
  </si>
  <si>
    <t>VARCHAR2 (20)</t>
  </si>
  <si>
    <t>VARCHAR2 (50)</t>
  </si>
  <si>
    <t>NUMBER (7,2)</t>
  </si>
  <si>
    <t>NUMBER(9)</t>
  </si>
  <si>
    <t>NUMBER(15)</t>
  </si>
  <si>
    <t>VARCHAR(10)</t>
  </si>
  <si>
    <t>NUMBER(1)</t>
  </si>
  <si>
    <t>NUMBER(2)</t>
  </si>
  <si>
    <t>NUMBER(4)</t>
  </si>
  <si>
    <t>VARCHAR2(6 CHAR)</t>
  </si>
  <si>
    <t>NUMBER(15, 2)</t>
  </si>
  <si>
    <t>NUMBER(5)</t>
  </si>
  <si>
    <t xml:space="preserve"> NUMBER(8, 2)</t>
  </si>
  <si>
    <t>DATE</t>
  </si>
  <si>
    <t>VARCHAR2(30 char)</t>
  </si>
  <si>
    <t>NUMBER(18)</t>
  </si>
  <si>
    <t>NUMBER(3)</t>
  </si>
  <si>
    <t>NUMBER(9,4)</t>
  </si>
  <si>
    <t>VARCHAR2(1)</t>
  </si>
  <si>
    <t>VARCHAR2(3)</t>
  </si>
  <si>
    <t>VARCHAR2(2000)</t>
  </si>
  <si>
    <t>VARCHAR2(5)</t>
  </si>
  <si>
    <t>NUMBER(3,1)</t>
  </si>
  <si>
    <t>NUMBER ( 1 )</t>
  </si>
  <si>
    <t xml:space="preserve">NUMBER ( 1 )   </t>
  </si>
  <si>
    <t xml:space="preserve">VARCHAR2 ( 3 )   </t>
  </si>
  <si>
    <t xml:space="preserve">NUMBER ( 1 ) </t>
  </si>
  <si>
    <t xml:space="preserve">VARCHAR2 ( 1 ) </t>
  </si>
  <si>
    <t xml:space="preserve">NUMBER ( 2 ) </t>
  </si>
  <si>
    <t xml:space="preserve">?
NUMBER ( 1 )     </t>
  </si>
  <si>
    <t>NUMBER ( 4 )</t>
  </si>
  <si>
    <t xml:space="preserve">VARCHAR2 ( 4 ) </t>
  </si>
  <si>
    <t>NUMBER ( 4,1 )</t>
  </si>
  <si>
    <t xml:space="preserve">NUMBER ( 1 )    </t>
  </si>
  <si>
    <t>NUMBER ( 2,1 )</t>
  </si>
  <si>
    <t>VARCHAR2 ( 10 )</t>
  </si>
  <si>
    <t xml:space="preserve">NUMBER ( 2,0 )  </t>
  </si>
  <si>
    <t xml:space="preserve">NUMBER ( 4,1 ) </t>
  </si>
  <si>
    <t>VARCHAR2 ( 3 )</t>
  </si>
  <si>
    <t xml:space="preserve">VARCHAR2 ( 1 )   </t>
  </si>
  <si>
    <t>VARCHAR2 ( 5 )</t>
  </si>
  <si>
    <t xml:space="preserve">NUMBER ( 3 ) </t>
  </si>
  <si>
    <t>NUMBER ( 3,1 )</t>
  </si>
  <si>
    <t>label</t>
  </si>
  <si>
    <t>GPS_NO</t>
  </si>
  <si>
    <t>LOT_SCHLAGNR I</t>
  </si>
  <si>
    <t>LOT_NAME</t>
  </si>
  <si>
    <t>LOT_ADD_ON</t>
  </si>
  <si>
    <t>LOT_SCHLAGNR II</t>
  </si>
  <si>
    <t>LOT_SIZE_HA</t>
  </si>
  <si>
    <t>SAMPLE_SIZE_HA</t>
  </si>
  <si>
    <t>LAND_USAGE</t>
  </si>
  <si>
    <t>SOIL_TYPE_ST</t>
  </si>
  <si>
    <t>LOT_SOIL_FERTILITY</t>
  </si>
  <si>
    <t>LOT_BARCODE</t>
  </si>
  <si>
    <t>LOT_SOIL_CLIMATE</t>
  </si>
  <si>
    <t>es gibt kein label</t>
  </si>
  <si>
    <t>SAMPLE_NO_2</t>
  </si>
  <si>
    <t>LOT_FIELDBLOCK</t>
  </si>
  <si>
    <t>LOT_FID</t>
  </si>
  <si>
    <t>LOT_HEIGHT</t>
  </si>
  <si>
    <t>WATER_PROTECTION_AREA</t>
  </si>
  <si>
    <t>LO_ROOTING_DEPTH</t>
  </si>
  <si>
    <t>LO_SLURRY</t>
  </si>
  <si>
    <t>LO_ORG_SUBS_CLASS</t>
  </si>
  <si>
    <t>LO_LOT_ADD_ON</t>
  </si>
  <si>
    <t>FARMLAND_NUMBER</t>
  </si>
  <si>
    <t>FARMLAND_PARCEL</t>
  </si>
  <si>
    <t>FARMLAND_DISTRICT</t>
  </si>
  <si>
    <t>GPS_H</t>
  </si>
  <si>
    <t>GPS_R</t>
  </si>
  <si>
    <t>FARMLAND_SAMPLE_NO</t>
  </si>
  <si>
    <t>SAMPLE_TYPE_REG</t>
  </si>
  <si>
    <t>SOIL_TYPE_CUSTOMER</t>
  </si>
  <si>
    <t>ORG_SUBS_CLASS_CUSTOMER</t>
  </si>
  <si>
    <t>SAMPLING_DEPTH_CLASS</t>
  </si>
  <si>
    <t>SAMPLING_DEPTH_CM</t>
  </si>
  <si>
    <t>SAMPLING_DEPTH_TOP_CM</t>
  </si>
  <si>
    <t>Y_BRACKET</t>
  </si>
  <si>
    <t>SOIL_LAYER</t>
  </si>
  <si>
    <t>STONE_CONTENT</t>
  </si>
  <si>
    <t>ERHEBWERT_N1</t>
  </si>
  <si>
    <t>ERHEBWERT_N2</t>
  </si>
  <si>
    <t>ERHEBWERT_N3</t>
  </si>
  <si>
    <t>ERHEBWERT_N4</t>
  </si>
  <si>
    <t>ANALYTIC_PACKAGE</t>
  </si>
  <si>
    <t>PRICE</t>
  </si>
  <si>
    <t>LA_LOT_INFO</t>
  </si>
  <si>
    <t>ZU_ANALYSENUMFANG</t>
  </si>
  <si>
    <t>PROBENSPEZ_1</t>
  </si>
  <si>
    <t>PROBENSPEZ_2</t>
  </si>
  <si>
    <t>PROBENSPEZ_3</t>
  </si>
  <si>
    <t>EXTRA_N1</t>
  </si>
  <si>
    <t>BODENART_KUNDE</t>
  </si>
  <si>
    <t>HUMUSKLASSE_KUNDE</t>
  </si>
  <si>
    <t>BODENGRUPPE_KUNDE</t>
  </si>
  <si>
    <t>LA_BBTYPE1</t>
  </si>
  <si>
    <t>LA_BBTYPE2</t>
  </si>
  <si>
    <t>LA_BBTYPE3</t>
  </si>
  <si>
    <t>LA_BBTYPE4</t>
  </si>
  <si>
    <t>LA_BBDATE1</t>
  </si>
  <si>
    <t>LA_BBDATE2</t>
  </si>
  <si>
    <t>LA_BBDATE3</t>
  </si>
  <si>
    <t>LA_BBDATE4</t>
  </si>
  <si>
    <t>LA_BEFU_LOT_NUMBER</t>
  </si>
  <si>
    <t>LA_SOIL_DEPTH</t>
  </si>
  <si>
    <t>LA_DIRSEED</t>
  </si>
  <si>
    <t>LA_NEXT_FRUIT_TYPE</t>
  </si>
  <si>
    <t>LA_GR_SOILVALUE</t>
  </si>
  <si>
    <t>LA_GR_TYPE</t>
  </si>
  <si>
    <t>LA_GR_FERTILIZATION</t>
  </si>
  <si>
    <t>LA_STALK</t>
  </si>
  <si>
    <t>LA_RAINFALL</t>
  </si>
  <si>
    <t>LA_MD_AUTUMN</t>
  </si>
  <si>
    <t>LA_NMIN_UPTO</t>
  </si>
  <si>
    <t>LA_ECO</t>
  </si>
  <si>
    <t>LA_PROD_GOAL</t>
  </si>
  <si>
    <t>LA_QUAL_ADD</t>
  </si>
  <si>
    <t>LA_SEED_DATE</t>
  </si>
  <si>
    <t>LA_STONE_CONTENT</t>
  </si>
  <si>
    <t>LA_CATTLE</t>
  </si>
  <si>
    <t>LA_V_CULTIVATION</t>
  </si>
  <si>
    <t>LA_CATTLE_DENSITY</t>
  </si>
  <si>
    <t>LA_WITHOUT_CATTLE</t>
  </si>
  <si>
    <t>LA_WDGV1</t>
  </si>
  <si>
    <t>LA_WDLJ</t>
  </si>
  <si>
    <t>LA_WDTS1</t>
  </si>
  <si>
    <t>LA_WDTS2</t>
  </si>
  <si>
    <t>LC_PC_WHOLE_PLANT_REMOVAL</t>
  </si>
  <si>
    <t>LC_FROZEN_OFF</t>
  </si>
  <si>
    <t>LC_PC_PLANT_DATE</t>
  </si>
  <si>
    <t>LC_PLANT_DATE</t>
  </si>
  <si>
    <t>LC_SPRINKLING</t>
  </si>
  <si>
    <t>LC_INVENTORY_DEVELOPMENT</t>
  </si>
  <si>
    <t>LC_ORDER</t>
  </si>
  <si>
    <t>LC_SOIL_COVER</t>
  </si>
  <si>
    <t>LC_PC_FALLOW</t>
  </si>
  <si>
    <t>LC_FALLOW</t>
  </si>
  <si>
    <t>LC_EC</t>
  </si>
  <si>
    <t>LC_INDUCTION</t>
  </si>
  <si>
    <t>STRAW_REMOVAL</t>
  </si>
  <si>
    <t>LC_CROP_YEAR</t>
  </si>
  <si>
    <t>LC_YIELD_LEVEL</t>
  </si>
  <si>
    <t>LC_YIELD_GOAL</t>
  </si>
  <si>
    <t>LC_PC_YIELD_GOAL</t>
  </si>
  <si>
    <t xml:space="preserve">LC_PC_FRUIT_TYPE </t>
  </si>
  <si>
    <t>LC_FRUIT_TYPE</t>
  </si>
  <si>
    <t>LC_POTATO_GROUP</t>
  </si>
  <si>
    <t>LC_LEGUME</t>
  </si>
  <si>
    <t>LC_LEGUME_PROPORTION</t>
  </si>
  <si>
    <t>LC_WITH_USAGE</t>
  </si>
  <si>
    <t>LC_RAPE_LEAF_LOSSES</t>
  </si>
  <si>
    <t>LC_RAPE_FRESH_MASS</t>
  </si>
  <si>
    <t>LC_RAPE_ROOT_DIAMETER</t>
  </si>
  <si>
    <t>LC_CRUDE_PROTEIN_CONTENT</t>
  </si>
  <si>
    <t>LC_RED_AREA</t>
  </si>
  <si>
    <t>LC_CUT_COUNT</t>
  </si>
  <si>
    <t>LC_SPECIES</t>
  </si>
  <si>
    <t>LC_VEGETATION_START</t>
  </si>
  <si>
    <t>LC_USE</t>
  </si>
  <si>
    <t>LC_PASTURE_PROPORTION</t>
  </si>
  <si>
    <t>LC_INTERMEDIATE_FRUIT</t>
  </si>
  <si>
    <t>LC_INTERMEDIATE_IN</t>
  </si>
  <si>
    <t>LC_INTERMEDIATE_IN_DATE</t>
  </si>
  <si>
    <t>LF_FERTILIZER_1</t>
  </si>
  <si>
    <t>LF_FERTILIZER_DATE_1</t>
  </si>
  <si>
    <t>LF_FERTILISER_QUANTITY1</t>
  </si>
  <si>
    <t>LF_NITROGEN_CONTENT</t>
  </si>
  <si>
    <t>LF_STABLE_N_DUENGER</t>
  </si>
  <si>
    <t>Platzhalter!</t>
  </si>
  <si>
    <t>LF_IC_FROZEN_GMZF1</t>
  </si>
  <si>
    <t>LF_IC_FROZEN_GMZF2</t>
  </si>
  <si>
    <t>LF_FROZEN_GMZF1</t>
  </si>
  <si>
    <t>LF_FROZEN_GMZF2</t>
  </si>
  <si>
    <t>LF_NITROGEN_TOTAL</t>
  </si>
  <si>
    <r>
      <t xml:space="preserve">Öffnen Sie die alte xlsm-Quittung und </t>
    </r>
    <r>
      <rPr>
        <b/>
        <i/>
        <u/>
        <sz val="11"/>
        <color rgb="FFFF6600"/>
        <rFont val="Arial"/>
        <family val="2"/>
      </rPr>
      <t>löschen Sie das rote Tabellenblatt (WICHTIG)</t>
    </r>
    <r>
      <rPr>
        <i/>
        <sz val="11"/>
        <color rgb="FFFF6600"/>
        <rFont val="Arial"/>
        <family val="2"/>
      </rPr>
      <t>:</t>
    </r>
    <r>
      <rPr>
        <sz val="11"/>
        <color rgb="FFFF6600"/>
        <rFont val="Arial"/>
        <family val="2"/>
      </rPr>
      <t xml:space="preserve"> </t>
    </r>
    <r>
      <rPr>
        <sz val="11"/>
        <color theme="1"/>
        <rFont val="Arial"/>
        <family val="2"/>
      </rPr>
      <t>rechte Maustaste → Löschen)</t>
    </r>
  </si>
  <si>
    <t>H:\!-Puffer\Test\</t>
  </si>
  <si>
    <t>H:\!-Puffer\Quittung\</t>
  </si>
  <si>
    <t>Postbefund</t>
  </si>
  <si>
    <t>Postrechnung</t>
  </si>
  <si>
    <t>Postbefund (x) ?</t>
  </si>
  <si>
    <t>Postrechnung (x) ?</t>
  </si>
  <si>
    <t>MR</t>
  </si>
  <si>
    <t>Ortsteil</t>
  </si>
  <si>
    <t>3.1  Erfassen der Auftragskopfdaten (die orangen Felder sind Pflichtfelder)</t>
  </si>
  <si>
    <t>3.1. Erfassen der Probendetails  (die orangen Felder sind Pflichtfelder)</t>
  </si>
  <si>
    <t>3.2 Makro zur Erzeugung aller Folge-Dateien ausführen (Es ist das grüne Makro)</t>
  </si>
  <si>
    <t>Anmerkungen</t>
  </si>
  <si>
    <t>A1) Postbefund und Postrechnung: Es wird generell angenommen, dass bei Vorliegen einer e-mail-Adresse beim landwirtschaftlichen Betrieb KEIN Postalischer Versand stattfindet. Soll trotzdem der Befund bzw. die Rechnung per Papier-Post versendet werden, bitte ankreuzen (bitte beachten: In diesem Fall fällt ein zusätzlicher Rechnungsposten Porto/Versand an)</t>
  </si>
  <si>
    <t>A1) extrem wichtig: Tütenbarcode – das ist das einzige Erkennungsmerkmal der Probe, die physisch im Labor eintrifft!</t>
  </si>
  <si>
    <r>
      <t xml:space="preserve">Verzeichnis für csv an Agrolab
</t>
    </r>
    <r>
      <rPr>
        <b/>
        <sz val="10"/>
        <color theme="9" tint="-0.249977111117893"/>
        <rFont val="Calibri"/>
        <family val="2"/>
        <scheme val="minor"/>
      </rPr>
      <t>(endet mit \)</t>
    </r>
  </si>
  <si>
    <r>
      <t xml:space="preserve">Verzeichnis für xlsm als Quittung und Kistenpdf
</t>
    </r>
    <r>
      <rPr>
        <b/>
        <sz val="10"/>
        <color theme="9" tint="-0.249977111117893"/>
        <rFont val="Calibri"/>
        <family val="2"/>
        <scheme val="minor"/>
      </rPr>
      <t>(endet mit \)</t>
    </r>
  </si>
  <si>
    <t>(Anmerkung1: wenn Sie nicht wünschen, dass das pdf automatisch geöffnet wird, sagen Sie bescheid, damit wir diesen Schritt aus dem Makro entfernen können)</t>
  </si>
  <si>
    <t>3.2.4 Automatisch öffnet sich ihr  pdf-Programm (üblicherweise AcrobatReader) mit dem pdf, das soeben erzeugt wurde. Sie können es ausdrucken und zu Ihren Proben in die Kiste legen.</t>
  </si>
  <si>
    <t>PN-Preis/Pr. 1 Schicht 0-30</t>
  </si>
  <si>
    <t>PN-Preis/Pr. 2 Schichten 0-60</t>
  </si>
  <si>
    <t>PN-Preis/Pr. 3 Schichten 0-90</t>
  </si>
  <si>
    <t>PN-Preis/Schicht</t>
  </si>
  <si>
    <t>Spalte5</t>
  </si>
  <si>
    <t>Spalte22</t>
  </si>
  <si>
    <t>Steingehalt</t>
  </si>
  <si>
    <t>PN0-30</t>
  </si>
  <si>
    <t>PN0-x</t>
  </si>
  <si>
    <t>Code liste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</si>
  <si>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</si>
  <si>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</si>
  <si>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</si>
  <si>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</si>
  <si>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</si>
  <si>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</si>
  <si>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</si>
  <si>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</si>
  <si>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r>
      <t>Untersuchungsauftrag für Agrar-</t>
    </r>
    <r>
      <rPr>
        <b/>
        <sz val="16"/>
        <color rgb="FFFF6600"/>
        <rFont val="Arial"/>
        <family val="2"/>
      </rPr>
      <t>Nminuntersuchung</t>
    </r>
    <r>
      <rPr>
        <b/>
        <sz val="16"/>
        <color theme="1"/>
        <rFont val="Arial"/>
        <family val="2"/>
      </rPr>
      <t xml:space="preserve">
(KEINE Std-Boden-Beauftragung)</t>
    </r>
  </si>
  <si>
    <t>Nmin</t>
  </si>
  <si>
    <t>Spalte23</t>
  </si>
  <si>
    <t>Spalte222</t>
  </si>
  <si>
    <t>Spalte6</t>
  </si>
  <si>
    <t>Spalte7</t>
  </si>
  <si>
    <t>Spalte16</t>
  </si>
  <si>
    <t>Spalte17</t>
  </si>
  <si>
    <t>Spalte18</t>
  </si>
  <si>
    <t>Spalte19</t>
  </si>
  <si>
    <t>Spalte20</t>
  </si>
  <si>
    <t>Spalte21</t>
  </si>
  <si>
    <t>Spalte24</t>
  </si>
  <si>
    <t>Spalte25</t>
  </si>
  <si>
    <t>Spalte26</t>
  </si>
  <si>
    <t>Spalte27</t>
  </si>
  <si>
    <t>Spalte28</t>
  </si>
  <si>
    <t>Spalte29</t>
  </si>
  <si>
    <t>Spalte30</t>
  </si>
  <si>
    <t>Vorfrucht</t>
  </si>
  <si>
    <t>Hauptfrucht</t>
  </si>
  <si>
    <t>Nmin +++ Begleitschein an Agrolab +++ Nmin</t>
  </si>
  <si>
    <t>B</t>
  </si>
  <si>
    <t>C</t>
  </si>
  <si>
    <t>D</t>
  </si>
  <si>
    <t>Auftragsverteiler</t>
  </si>
  <si>
    <t>F</t>
  </si>
  <si>
    <t>G</t>
  </si>
  <si>
    <t>Der digitale Probenbegleitschein im Bereich Nmin ist eine Excel-Datei im Format xltm (also eine Excel-Vorlage mit eingebetteten Makros).</t>
  </si>
  <si>
    <t>A2) die lfd.Nr./GPS muß eindeutig die Probenahmestelle sein. ALLE Schichten einer Probe(nahmestelle) haben eine gemeinsame Nummer</t>
  </si>
  <si>
    <t>PBS-N</t>
  </si>
  <si>
    <t>x</t>
  </si>
  <si>
    <t>TYP Nmin</t>
  </si>
  <si>
    <t>Tiefenprofil 1:4</t>
  </si>
  <si>
    <t>Tiefenprofil 1:1</t>
  </si>
  <si>
    <t>Tiefenprofil oder Standard</t>
  </si>
  <si>
    <t>Typ Nmin</t>
  </si>
  <si>
    <t>Nmin Standard</t>
  </si>
  <si>
    <t>TYP</t>
  </si>
  <si>
    <t>Nmin-Typ</t>
  </si>
  <si>
    <r>
      <rPr>
        <sz val="11"/>
        <color rgb="FFFF6600"/>
        <rFont val="Calibri"/>
        <family val="2"/>
        <scheme val="minor"/>
      </rPr>
      <t xml:space="preserve">A3) ACHTUNG: </t>
    </r>
    <r>
      <rPr>
        <sz val="11"/>
        <color theme="1"/>
        <rFont val="Calibri"/>
        <family val="2"/>
        <scheme val="minor"/>
      </rPr>
      <t xml:space="preserve">Bei Eingabe der </t>
    </r>
    <r>
      <rPr>
        <sz val="11"/>
        <color rgb="FFFF6600"/>
        <rFont val="Calibri"/>
        <family val="2"/>
        <scheme val="minor"/>
      </rPr>
      <t xml:space="preserve">Kundenummer AGROLAB </t>
    </r>
    <r>
      <rPr>
        <sz val="11"/>
        <color theme="1"/>
        <rFont val="Calibri"/>
        <family val="2"/>
        <scheme val="minor"/>
      </rPr>
      <t>werden in der Agrolab-Datenbank die Detail-Adressdaten mit den hier gemachten Angabe überschrieben (z.B. Name)</t>
    </r>
  </si>
  <si>
    <t>Legende</t>
  </si>
  <si>
    <t>Code</t>
  </si>
  <si>
    <t>Fruchtart</t>
  </si>
  <si>
    <r>
      <t>3.2.1</t>
    </r>
    <r>
      <rPr>
        <i/>
        <sz val="7"/>
        <color rgb="FFFF6600"/>
        <rFont val="Times New Roman"/>
        <family val="1"/>
      </rPr>
      <t xml:space="preserve">  </t>
    </r>
    <r>
      <rPr>
        <b/>
        <sz val="11"/>
        <color theme="1"/>
        <rFont val="Arial"/>
        <family val="2"/>
      </rPr>
      <t>csv-Datei</t>
    </r>
    <r>
      <rPr>
        <sz val="11"/>
        <color theme="1"/>
        <rFont val="Arial"/>
        <family val="2"/>
      </rPr>
      <t xml:space="preserve"> – diese wird an Agrolab übermittelt und stellt den eigentlichen digitalen Auftrag dar
</t>
    </r>
    <r>
      <rPr>
        <sz val="11"/>
        <color rgb="FFFF6600"/>
        <rFont val="Arial"/>
        <family val="2"/>
      </rPr>
      <t>(Bitte übermitteln Sie diese csv-Datei möglichst vor dem Probeneingang an das Labor)</t>
    </r>
  </si>
  <si>
    <r>
      <t>3.2.3</t>
    </r>
    <r>
      <rPr>
        <b/>
        <sz val="11"/>
        <color theme="1"/>
        <rFont val="Arial"/>
        <family val="2"/>
      </rPr>
      <t xml:space="preserve"> pdf-Date</t>
    </r>
    <r>
      <rPr>
        <sz val="11"/>
        <color theme="1"/>
        <rFont val="Arial"/>
        <family val="2"/>
      </rPr>
      <t xml:space="preserve">i als Probenbegleitschein. </t>
    </r>
    <r>
      <rPr>
        <i/>
        <sz val="11"/>
        <color rgb="FFFF6600"/>
        <rFont val="Arial"/>
        <family val="2"/>
      </rPr>
      <t>Dieser sollte ausgedruckt und der Kiste mit Proben beigefügt werden
 (besonders wichtig: Nmin-Typ, aus dem das Labor entnimmt auf welcher Schiene die Proben ins Labor geschleust werden müssen (Extraktionsmethode)</t>
    </r>
  </si>
  <si>
    <r>
      <t>(Anmerkung2:</t>
    </r>
    <r>
      <rPr>
        <sz val="11"/>
        <color theme="9" tint="-0.249977111117893"/>
        <rFont val="Arial"/>
        <family val="2"/>
      </rPr>
      <t xml:space="preserve"> </t>
    </r>
    <r>
      <rPr>
        <sz val="11"/>
        <color rgb="FFFF6600"/>
        <rFont val="Arial"/>
        <family val="2"/>
      </rPr>
      <t xml:space="preserve">Bitte in JEDE Kiste eine Zettel oben auflegen mit Angabe zum Nmin-Typ (Nmin Standrd, Tiefenprofil 1:1 oder Tiefenprofil 1:4) </t>
    </r>
    <r>
      <rPr>
        <sz val="11"/>
        <color theme="1"/>
        <rFont val="Arial"/>
        <family val="2"/>
      </rPr>
      <t>- Am besten ist dieser Begleitschein, es geht aber auch informeller, falls kein Drucker zur Verfügung) - Das ist notwendig für den ersten Prozeßschritt im Labor (Zuordnung der Kiste zu Nmin)</t>
    </r>
  </si>
  <si>
    <t>PN0-60</t>
  </si>
  <si>
    <t>PN0-90</t>
  </si>
  <si>
    <t>Spalte31</t>
  </si>
  <si>
    <t>Schicht</t>
  </si>
  <si>
    <t>Tiefe</t>
  </si>
  <si>
    <r>
      <rPr>
        <sz val="11"/>
        <color rgb="FFFF6600"/>
        <rFont val="Calibri"/>
        <family val="2"/>
        <scheme val="minor"/>
      </rPr>
      <t>A2) Besonders wichtig zur Erkennungder Analytik bei Probenankunft: Angabe von TYP</t>
    </r>
    <r>
      <rPr>
        <sz val="11"/>
        <color theme="1"/>
        <rFont val="Calibri"/>
        <family val="2"/>
        <scheme val="minor"/>
      </rPr>
      <t xml:space="preserve">
(Drop-Down-Feld: Nmin Standard oder Tiefenprofil 1:1 oder Tiefenprofil 1:4)
</t>
    </r>
    <r>
      <rPr>
        <b/>
        <sz val="11"/>
        <color rgb="FFFF6600"/>
        <rFont val="Calibri"/>
        <family val="2"/>
        <scheme val="minor"/>
      </rPr>
      <t>Je Auftrag darf nur EIN Typ verwendet werden</t>
    </r>
    <r>
      <rPr>
        <sz val="11"/>
        <color rgb="FFFF6600"/>
        <rFont val="Calibri"/>
        <family val="2"/>
        <scheme val="minor"/>
      </rPr>
      <t xml:space="preserve"> (kein Mischen von z.B. Nmin Standard mit Tiefenprofil)</t>
    </r>
  </si>
  <si>
    <t>gesamte Datei</t>
  </si>
  <si>
    <t>Erst-release + Versand INGUS, IGLU, ZWO</t>
  </si>
  <si>
    <t>csv-Arbeitsblatt</t>
  </si>
  <si>
    <t>Anpassung für nur EINE Probe in Makro</t>
  </si>
  <si>
    <t>Spalte282</t>
  </si>
  <si>
    <t>BC</t>
  </si>
  <si>
    <t>bem1</t>
  </si>
  <si>
    <t>bem2</t>
  </si>
  <si>
    <t xml:space="preserve">bem3 </t>
  </si>
  <si>
    <t>20-55</t>
  </si>
  <si>
    <t>1.03</t>
  </si>
  <si>
    <t>N</t>
  </si>
  <si>
    <t>A3) Tiefe/Schicht: Hier muß die Tiefe und die Schicht eingetragen werden
(Im speziellen Fall (Schicht 1=0-30cm, Schicht 2=30-60cm, Schicht 3=60-90cm ) kann das Eintragen der Tiefe entfallen)</t>
  </si>
  <si>
    <t>A4) Vorfrucht/Hauptfrucht: falls gewünscht: Bitte wählen Sie einen Code aus Arbeitblatt "Einstellungen+Makro" - Spalte A (ab Zeile 19)</t>
  </si>
  <si>
    <t>Arbeitsblatt "Proben"</t>
  </si>
  <si>
    <t>BUG aus v1.02 entfernt: Nun ist die Spalte für die Schlagnr. sichtbar (anstatt der für die Teilschlagnr.)</t>
  </si>
  <si>
    <t>Anpassung der Formatierungen in der intelligenten Tabelle</t>
  </si>
  <si>
    <r>
      <t xml:space="preserve">lfd.Nr. /GPS
</t>
    </r>
    <r>
      <rPr>
        <b/>
        <sz val="10"/>
        <rFont val="Arial"/>
        <family val="2"/>
      </rPr>
      <t>(max.5)</t>
    </r>
  </si>
  <si>
    <r>
      <t xml:space="preserve">Schlagname
</t>
    </r>
    <r>
      <rPr>
        <b/>
        <sz val="10"/>
        <rFont val="Arial"/>
        <family val="2"/>
      </rPr>
      <t>(max.20)</t>
    </r>
  </si>
  <si>
    <r>
      <t xml:space="preserve">Erweiterung Schlagname
</t>
    </r>
    <r>
      <rPr>
        <b/>
        <sz val="10"/>
        <rFont val="Arial"/>
        <family val="2"/>
      </rPr>
      <t>(nicht auf pdf-Befund # max.15)</t>
    </r>
  </si>
  <si>
    <t>max16Zeichen</t>
  </si>
  <si>
    <t>max15Zeichen</t>
  </si>
  <si>
    <t>1.04</t>
  </si>
  <si>
    <t>Anpassung der Formatierungen in der intelligenten Tabelle und Überschriften</t>
  </si>
  <si>
    <t>dPBS-N Version 1.04 Bedienungsanleitung</t>
  </si>
  <si>
    <t>Stand: 04.02.2025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</si>
</sst>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*&quot;0&quot;-&quot;;;;&quot;*&quot;@&quot;*&quot;"/>
    <numFmt numFmtId="165" formatCode="00000"/>
    <numFmt numFmtId="166" formatCode="#,##0.00\ _€"/>
    <numFmt numFmtId="167" formatCode="yyyymmdd"/>
    <numFmt numFmtId="168" formatCode="0.0000"/>
  </numFmts>
  <fonts count="1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4"/>
      <name val="Arial"/>
      <family val="2"/>
    </font>
    <font>
      <b/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20"/>
      <color theme="1"/>
      <name val="Arial"/>
      <family val="2"/>
    </font>
    <font>
      <b/>
      <sz val="28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IDAutomationHC39M Free Version"/>
      <family val="1"/>
      <charset val="2"/>
    </font>
    <font>
      <u/>
      <sz val="11"/>
      <color theme="10"/>
      <name val="Calibri"/>
      <family val="2"/>
      <scheme val="minor"/>
    </font>
    <font>
      <b/>
      <sz val="12"/>
      <color rgb="FFFFFF00"/>
      <name val="Arial"/>
      <family val="2"/>
    </font>
    <font>
      <sz val="16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u/>
      <sz val="14"/>
      <color theme="10"/>
      <name val="Arial"/>
      <family val="2"/>
    </font>
    <font>
      <b/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i/>
      <sz val="11"/>
      <color rgb="FF00B0F0"/>
      <name val="Calibri"/>
      <family val="2"/>
      <scheme val="minor"/>
    </font>
    <font>
      <sz val="10"/>
      <color rgb="FF067D17"/>
      <name val="JetBrains Mono"/>
      <family val="3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rgb="FF080808"/>
      <name val="JetBrains Mono"/>
      <family val="3"/>
    </font>
    <font>
      <sz val="10"/>
      <color rgb="FF871094"/>
      <name val="JetBrains Mono"/>
      <family val="3"/>
    </font>
    <font>
      <sz val="10"/>
      <color rgb="FF0000FF"/>
      <name val="JetBrains Mono"/>
      <family val="3"/>
    </font>
    <font>
      <sz val="10"/>
      <color rgb="FFFF0000"/>
      <name val="JetBrains Mono"/>
      <family val="3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FA7D00"/>
      <name val="Arial"/>
      <family val="2"/>
    </font>
    <font>
      <b/>
      <sz val="8"/>
      <color rgb="FF3F3F3F"/>
      <name val="Calibri"/>
      <family val="2"/>
      <scheme val="minor"/>
    </font>
    <font>
      <b/>
      <sz val="8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indexed="8"/>
      <name val="Calibri"/>
      <family val="2"/>
    </font>
    <font>
      <sz val="8"/>
      <color rgb="FF9C0006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sz val="8"/>
      <color rgb="FFFA7D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24"/>
      <color theme="1"/>
      <name val="Arial"/>
      <family val="2"/>
    </font>
    <font>
      <sz val="11"/>
      <color theme="9" tint="0.59999389629810485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C000"/>
      <name val="Arial"/>
      <family val="2"/>
    </font>
    <font>
      <sz val="26"/>
      <color rgb="FF17365D"/>
      <name val="Cambria"/>
      <family val="1"/>
    </font>
    <font>
      <sz val="7"/>
      <color theme="1"/>
      <name val="Times New Roman"/>
      <family val="1"/>
    </font>
    <font>
      <i/>
      <sz val="11"/>
      <color rgb="FFFF6600"/>
      <name val="Arial"/>
      <family val="2"/>
    </font>
    <font>
      <i/>
      <sz val="7"/>
      <color rgb="FFFF6600"/>
      <name val="Times New Roman"/>
      <family val="1"/>
    </font>
    <font>
      <sz val="11"/>
      <color rgb="FFFF6600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u/>
      <sz val="11"/>
      <color theme="10"/>
      <name val="Arial"/>
      <family val="2"/>
    </font>
    <font>
      <sz val="8"/>
      <name val="Calibri"/>
      <family val="2"/>
      <scheme val="minor"/>
    </font>
    <font>
      <b/>
      <sz val="16"/>
      <color rgb="FF339966"/>
      <name val="Arial"/>
      <family val="2"/>
    </font>
    <font>
      <sz val="20"/>
      <color rgb="FFFF6600"/>
      <name val="Arial"/>
      <family val="2"/>
    </font>
    <font>
      <b/>
      <i/>
      <u/>
      <sz val="11"/>
      <color rgb="FFFF6600"/>
      <name val="Arial"/>
      <family val="2"/>
    </font>
    <font>
      <b/>
      <sz val="16"/>
      <color rgb="FFFF000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Arial"/>
      <family val="2"/>
    </font>
    <font>
      <b/>
      <i/>
      <sz val="11"/>
      <color rgb="FFFF6600"/>
      <name val="Arial"/>
      <family val="2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Arial"/>
      <family val="2"/>
    </font>
    <font>
      <sz val="11"/>
      <color rgb="FFFF6600"/>
      <name val="Calibri"/>
      <family val="2"/>
      <scheme val="minor"/>
    </font>
    <font>
      <b/>
      <sz val="16"/>
      <color rgb="FFFF6600"/>
      <name val="Arial"/>
      <family val="2"/>
    </font>
    <font>
      <sz val="14"/>
      <color theme="1"/>
      <name val="Arial"/>
      <family val="2"/>
    </font>
    <font>
      <sz val="18"/>
      <color rgb="FFFF6600"/>
      <name val="Calibri"/>
      <family val="2"/>
      <scheme val="minor"/>
    </font>
    <font>
      <b/>
      <sz val="18"/>
      <color rgb="FFFF660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0"/>
      <color theme="1"/>
      <name val="Arial"/>
      <family val="2"/>
    </font>
    <font>
      <i/>
      <sz val="11"/>
      <name val="Arial"/>
      <family val="2"/>
    </font>
    <font>
      <sz val="20"/>
      <color theme="1"/>
      <name val="Arial"/>
      <family val="2"/>
    </font>
    <font>
      <sz val="12"/>
      <color theme="1"/>
      <name val="Arial"/>
      <family val="2"/>
    </font>
    <font>
      <b/>
      <sz val="12"/>
      <color rgb="FFFF6600"/>
      <name val="Arial"/>
      <family val="2"/>
    </font>
    <font>
      <sz val="14"/>
      <color rgb="FFCCFFCC"/>
      <name val="Arial"/>
      <family val="2"/>
    </font>
    <font>
      <sz val="14"/>
      <color rgb="FF99CCFF"/>
      <name val="Arial"/>
      <family val="2"/>
    </font>
    <font>
      <sz val="14"/>
      <color rgb="FF92D050"/>
      <name val="Arial"/>
      <family val="2"/>
    </font>
    <font>
      <b/>
      <sz val="20"/>
      <color rgb="FFFFC000"/>
      <name val="Arial"/>
      <family val="2"/>
    </font>
    <font>
      <b/>
      <sz val="20"/>
      <color rgb="FFFFFF00"/>
      <name val="Arial"/>
      <family val="2"/>
    </font>
    <font>
      <sz val="14"/>
      <color rgb="FFFF6600"/>
      <name val="Arial"/>
      <family val="2"/>
    </font>
    <font>
      <sz val="14"/>
      <name val="Arial"/>
      <family val="2"/>
    </font>
    <font>
      <sz val="20"/>
      <color rgb="FFFFFF00"/>
      <name val="Arial"/>
      <family val="2"/>
    </font>
    <font>
      <b/>
      <sz val="16"/>
      <color theme="0"/>
      <name val="Arial"/>
      <family val="2"/>
    </font>
    <font>
      <b/>
      <sz val="16"/>
      <name val="Arial"/>
      <family val="2"/>
    </font>
    <font>
      <b/>
      <sz val="16"/>
      <color rgb="FFFFC000"/>
      <name val="Arial"/>
      <family val="2"/>
    </font>
    <font>
      <sz val="14"/>
      <color rgb="FFFFFF00"/>
      <name val="Arial"/>
      <family val="2"/>
    </font>
    <font>
      <b/>
      <sz val="14"/>
      <color rgb="FFCCFFCC"/>
      <name val="Arial"/>
      <family val="2"/>
    </font>
    <font>
      <strike/>
      <sz val="14"/>
      <color theme="1"/>
      <name val="Arial"/>
      <family val="2"/>
    </font>
    <font>
      <strike/>
      <sz val="14"/>
      <color rgb="FFFF0000"/>
      <name val="Arial"/>
      <family val="2"/>
    </font>
    <font>
      <sz val="12"/>
      <color rgb="FFFF6600"/>
      <name val="Arial"/>
      <family val="2"/>
    </font>
    <font>
      <b/>
      <sz val="1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>
        <stop position="0">
          <color rgb="FF92D050"/>
        </stop>
        <stop position="1">
          <color rgb="FFFFC000"/>
        </stop>
      </gradientFill>
    </fill>
    <fill>
      <patternFill patternType="solid">
        <fgColor indexed="65"/>
        <bgColor rgb="FFABFFD5"/>
      </patternFill>
    </fill>
    <fill>
      <patternFill patternType="solid">
        <fgColor rgb="FFCCFFCC"/>
        <bgColor rgb="FFABFFD5"/>
      </patternFill>
    </fill>
    <fill>
      <patternFill patternType="solid">
        <fgColor rgb="FFFFC000"/>
        <bgColor rgb="FFABFFD5"/>
      </patternFill>
    </fill>
    <fill>
      <patternFill patternType="solid">
        <fgColor theme="0"/>
        <bgColor rgb="FFABFFD5"/>
      </patternFill>
    </fill>
    <fill>
      <patternFill patternType="solid">
        <fgColor rgb="FF97FFDF"/>
        <bgColor rgb="FFABFFD5"/>
      </patternFill>
    </fill>
    <fill>
      <patternFill patternType="solid">
        <fgColor rgb="FF25FF88"/>
        <bgColor rgb="FFABFFD5"/>
      </patternFill>
    </fill>
    <fill>
      <patternFill patternType="solid">
        <fgColor rgb="FFABFFD5"/>
        <bgColor indexed="64"/>
      </patternFill>
    </fill>
    <fill>
      <patternFill patternType="solid">
        <fgColor rgb="FFFAED9E"/>
        <bgColor rgb="FFABFFD5"/>
      </patternFill>
    </fill>
    <fill>
      <patternFill patternType="solid">
        <fgColor rgb="FFFFCC99"/>
        <bgColor rgb="FFABFFD5"/>
      </patternFill>
    </fill>
    <fill>
      <patternFill patternType="solid">
        <fgColor rgb="FF97FFDF"/>
        <bgColor indexed="64"/>
      </patternFill>
    </fill>
    <fill>
      <patternFill patternType="solid">
        <fgColor rgb="FF99FFCC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</borders>
  <cellStyleXfs count="98">
    <xf numFmtId="0" fontId="0" fillId="0" borderId="0"/>
    <xf numFmtId="0" fontId="1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49" fontId="7" fillId="2" borderId="1">
      <alignment horizontal="center" vertical="center"/>
      <protection locked="0"/>
    </xf>
    <xf numFmtId="164" fontId="9" fillId="2" borderId="1" applyFill="0">
      <alignment horizontal="center" vertical="top"/>
      <protection locked="0"/>
    </xf>
    <xf numFmtId="1" fontId="6" fillId="0" borderId="1">
      <alignment horizontal="center" vertical="center"/>
    </xf>
    <xf numFmtId="0" fontId="20" fillId="5" borderId="1">
      <alignment horizontal="left" wrapText="1"/>
    </xf>
    <xf numFmtId="0" fontId="10" fillId="0" borderId="0" applyNumberFormat="0" applyFill="0" applyBorder="0" applyAlignment="0" applyProtection="0"/>
    <xf numFmtId="0" fontId="45" fillId="11" borderId="0" applyNumberFormat="0" applyBorder="0" applyAlignment="0" applyProtection="0"/>
    <xf numFmtId="0" fontId="45" fillId="13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12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43" borderId="0" applyNumberFormat="0" applyBorder="0" applyAlignment="0" applyProtection="0"/>
    <xf numFmtId="0" fontId="45" fillId="46" borderId="0" applyNumberFormat="0" applyBorder="0" applyAlignment="0" applyProtection="0"/>
    <xf numFmtId="0" fontId="46" fillId="35" borderId="0" applyNumberFormat="0" applyBorder="0" applyAlignment="0" applyProtection="0"/>
    <xf numFmtId="0" fontId="46" fillId="37" borderId="0" applyNumberFormat="0" applyBorder="0" applyAlignment="0" applyProtection="0"/>
    <xf numFmtId="0" fontId="46" fillId="39" borderId="0" applyNumberFormat="0" applyBorder="0" applyAlignment="0" applyProtection="0"/>
    <xf numFmtId="0" fontId="46" fillId="41" borderId="0" applyNumberFormat="0" applyBorder="0" applyAlignment="0" applyProtection="0"/>
    <xf numFmtId="0" fontId="46" fillId="44" borderId="0" applyNumberFormat="0" applyBorder="0" applyAlignment="0" applyProtection="0"/>
    <xf numFmtId="0" fontId="46" fillId="47" borderId="0" applyNumberFormat="0" applyBorder="0" applyAlignment="0" applyProtection="0"/>
    <xf numFmtId="0" fontId="47" fillId="5" borderId="0" applyProtection="0">
      <alignment vertical="top"/>
    </xf>
    <xf numFmtId="0" fontId="46" fillId="34" borderId="0" applyNumberFormat="0" applyBorder="0" applyAlignment="0" applyProtection="0"/>
    <xf numFmtId="0" fontId="46" fillId="36" borderId="0" applyNumberFormat="0" applyBorder="0" applyAlignment="0" applyProtection="0"/>
    <xf numFmtId="0" fontId="46" fillId="38" borderId="0" applyNumberFormat="0" applyBorder="0" applyAlignment="0" applyProtection="0"/>
    <xf numFmtId="0" fontId="46" fillId="40" borderId="0" applyNumberFormat="0" applyBorder="0" applyAlignment="0" applyProtection="0"/>
    <xf numFmtId="0" fontId="46" fillId="42" borderId="0" applyNumberFormat="0" applyBorder="0" applyAlignment="0" applyProtection="0"/>
    <xf numFmtId="0" fontId="46" fillId="45" borderId="0" applyNumberFormat="0" applyBorder="0" applyAlignment="0" applyProtection="0"/>
    <xf numFmtId="0" fontId="48" fillId="8" borderId="23" applyNumberFormat="0" applyAlignment="0" applyProtection="0"/>
    <xf numFmtId="0" fontId="49" fillId="8" borderId="22" applyNumberFormat="0" applyAlignment="0" applyProtection="0"/>
    <xf numFmtId="0" fontId="50" fillId="7" borderId="22" applyNumberFormat="0" applyAlignment="0" applyProtection="0"/>
    <xf numFmtId="0" fontId="26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2" fillId="48" borderId="1">
      <alignment vertical="top"/>
      <protection locked="0"/>
    </xf>
    <xf numFmtId="0" fontId="53" fillId="6" borderId="0" applyNumberFormat="0" applyBorder="0" applyAlignment="0" applyProtection="0"/>
    <xf numFmtId="0" fontId="54" fillId="0" borderId="0" applyNumberFormat="0" applyFill="0" applyBorder="0" applyAlignment="0" applyProtection="0"/>
    <xf numFmtId="0" fontId="55" fillId="33" borderId="0" applyNumberFormat="0" applyBorder="0" applyAlignment="0" applyProtection="0"/>
    <xf numFmtId="0" fontId="1" fillId="0" borderId="0"/>
    <xf numFmtId="0" fontId="56" fillId="10" borderId="26" applyNumberFormat="0" applyFont="0" applyAlignment="0" applyProtection="0"/>
    <xf numFmtId="0" fontId="57" fillId="32" borderId="0" applyNumberFormat="0" applyBorder="0" applyAlignment="0" applyProtection="0"/>
    <xf numFmtId="0" fontId="14" fillId="0" borderId="0">
      <alignment vertical="top"/>
    </xf>
    <xf numFmtId="0" fontId="58" fillId="0" borderId="0"/>
    <xf numFmtId="0" fontId="58" fillId="0" borderId="0"/>
    <xf numFmtId="0" fontId="45" fillId="0" borderId="0"/>
    <xf numFmtId="0" fontId="59" fillId="0" borderId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61" fillId="0" borderId="24" applyNumberFormat="0" applyFill="0" applyAlignment="0" applyProtection="0"/>
    <xf numFmtId="0" fontId="62" fillId="0" borderId="0" applyNumberFormat="0" applyFill="0" applyBorder="0" applyAlignment="0" applyProtection="0"/>
    <xf numFmtId="0" fontId="63" fillId="9" borderId="25" applyNumberFormat="0" applyAlignment="0" applyProtection="0"/>
    <xf numFmtId="0" fontId="70" fillId="3" borderId="1" applyProtection="0">
      <alignment horizontal="center" vertical="center" wrapText="1"/>
      <protection locked="0"/>
    </xf>
    <xf numFmtId="164" fontId="9" fillId="2" borderId="1" applyFill="0">
      <alignment horizontal="center" vertical="justify"/>
      <protection locked="0"/>
    </xf>
    <xf numFmtId="1" fontId="7" fillId="0" borderId="1">
      <alignment horizontal="center" vertical="center"/>
      <protection locked="0"/>
    </xf>
    <xf numFmtId="1" fontId="23" fillId="0" borderId="1">
      <alignment horizontal="center" vertical="center"/>
      <protection locked="0"/>
    </xf>
    <xf numFmtId="49" fontId="23" fillId="0" borderId="1">
      <alignment horizontal="center" vertical="center" wrapText="1"/>
      <protection locked="0"/>
    </xf>
    <xf numFmtId="49" fontId="23" fillId="0" borderId="1">
      <alignment horizontal="center" vertical="center"/>
      <protection locked="0"/>
    </xf>
    <xf numFmtId="49" fontId="7" fillId="0" borderId="1">
      <alignment horizontal="center" vertical="center"/>
      <protection locked="0"/>
    </xf>
    <xf numFmtId="49" fontId="7" fillId="0" borderId="1">
      <alignment horizontal="center" vertical="center"/>
      <protection locked="0"/>
    </xf>
    <xf numFmtId="49" fontId="2" fillId="0" borderId="1" applyFill="0">
      <alignment horizontal="center" vertical="center" wrapText="1"/>
      <protection locked="0"/>
    </xf>
    <xf numFmtId="49" fontId="2" fillId="2" borderId="1">
      <alignment horizontal="center" vertical="center" wrapText="1"/>
      <protection locked="0"/>
    </xf>
    <xf numFmtId="0" fontId="76" fillId="5" borderId="1">
      <alignment horizontal="center" vertical="center" wrapText="1"/>
      <protection hidden="1"/>
    </xf>
    <xf numFmtId="49" fontId="2" fillId="3" borderId="11">
      <alignment horizontal="center" vertical="center" wrapText="1"/>
      <protection hidden="1"/>
    </xf>
    <xf numFmtId="49" fontId="77" fillId="22" borderId="11">
      <alignment horizontal="center" vertical="center" textRotation="90" wrapText="1"/>
      <protection hidden="1"/>
    </xf>
    <xf numFmtId="49" fontId="77" fillId="4" borderId="11">
      <alignment horizontal="center" vertical="center" wrapText="1"/>
    </xf>
    <xf numFmtId="49" fontId="77" fillId="5" borderId="11">
      <alignment horizontal="center" vertical="center" wrapText="1"/>
      <protection hidden="1"/>
    </xf>
    <xf numFmtId="49" fontId="77" fillId="5" borderId="11">
      <alignment horizontal="center" vertical="center" wrapText="1"/>
      <protection hidden="1"/>
    </xf>
    <xf numFmtId="49" fontId="77" fillId="4" borderId="11">
      <alignment horizontal="center" vertical="center" wrapText="1"/>
      <protection hidden="1"/>
    </xf>
    <xf numFmtId="49" fontId="77" fillId="4" borderId="11">
      <alignment horizontal="center" vertical="center" wrapText="1"/>
      <protection hidden="1"/>
    </xf>
    <xf numFmtId="49" fontId="77" fillId="5" borderId="11">
      <alignment horizontal="center" vertical="center" wrapText="1"/>
      <protection hidden="1"/>
    </xf>
    <xf numFmtId="49" fontId="77" fillId="5" borderId="11">
      <alignment horizontal="center" vertical="center" textRotation="90" wrapText="1"/>
      <protection hidden="1"/>
    </xf>
    <xf numFmtId="49" fontId="77" fillId="4" borderId="11">
      <alignment horizontal="center" vertical="center" wrapText="1"/>
      <protection hidden="1"/>
    </xf>
    <xf numFmtId="49" fontId="77" fillId="5" borderId="11">
      <alignment horizontal="center" vertical="center" wrapText="1"/>
      <protection hidden="1"/>
    </xf>
    <xf numFmtId="49" fontId="77" fillId="3" borderId="11">
      <alignment horizontal="center" vertical="center" textRotation="90" wrapText="1"/>
      <protection hidden="1"/>
    </xf>
    <xf numFmtId="0" fontId="20" fillId="0" borderId="1">
      <alignment horizontal="left" vertical="top" wrapText="1"/>
      <protection locked="0"/>
    </xf>
    <xf numFmtId="0" fontId="17" fillId="0" borderId="21" applyNumberFormat="0" applyFill="0" applyAlignment="0" applyProtection="0"/>
    <xf numFmtId="1" fontId="23" fillId="0" borderId="1">
      <alignment horizontal="center" vertical="center" wrapText="1"/>
      <protection locked="0"/>
    </xf>
    <xf numFmtId="1" fontId="91" fillId="0" borderId="1" applyFont="0">
      <alignment horizontal="left" vertical="center" wrapText="1"/>
      <protection locked="0"/>
    </xf>
    <xf numFmtId="168" fontId="91" fillId="0" borderId="1" applyFont="0">
      <alignment horizontal="center" vertical="center" wrapText="1"/>
      <protection locked="0"/>
    </xf>
    <xf numFmtId="0" fontId="91" fillId="0" borderId="1" applyFont="0">
      <alignment horizontal="center" vertical="center" wrapText="1"/>
      <protection locked="0"/>
    </xf>
  </cellStyleXfs>
  <cellXfs count="308">
    <xf numFmtId="0" fontId="0" fillId="0" borderId="0" xfId="0"/>
    <xf numFmtId="49" fontId="3" fillId="4" borderId="28" xfId="0" applyNumberFormat="1" applyFont="1" applyFill="1" applyBorder="1" applyAlignment="1" applyProtection="1">
      <alignment horizontal="center" vertical="center" wrapText="1"/>
      <protection hidden="1"/>
    </xf>
    <xf numFmtId="0" fontId="0" fillId="3" borderId="1" xfId="0" applyFill="1" applyBorder="1" applyAlignment="1">
      <alignment horizontal="center"/>
    </xf>
    <xf numFmtId="0" fontId="19" fillId="4" borderId="1" xfId="0" applyFont="1" applyFill="1" applyBorder="1"/>
    <xf numFmtId="0" fontId="26" fillId="0" borderId="0" xfId="0" applyFont="1" applyProtection="1">
      <protection locked="0"/>
    </xf>
    <xf numFmtId="49" fontId="27" fillId="2" borderId="35" xfId="0" applyNumberFormat="1" applyFont="1" applyFill="1" applyBorder="1" applyAlignment="1">
      <alignment horizontal="left" vertical="center"/>
    </xf>
    <xf numFmtId="0" fontId="19" fillId="25" borderId="1" xfId="0" applyFont="1" applyFill="1" applyBorder="1"/>
    <xf numFmtId="0" fontId="0" fillId="25" borderId="35" xfId="0" applyFill="1" applyBorder="1" applyAlignment="1">
      <alignment horizontal="left"/>
    </xf>
    <xf numFmtId="0" fontId="27" fillId="2" borderId="35" xfId="0" applyFont="1" applyFill="1" applyBorder="1" applyAlignment="1">
      <alignment horizontal="left" vertical="center"/>
    </xf>
    <xf numFmtId="0" fontId="28" fillId="2" borderId="35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19" fillId="21" borderId="1" xfId="0" applyFont="1" applyFill="1" applyBorder="1"/>
    <xf numFmtId="0" fontId="0" fillId="0" borderId="0" xfId="0" applyAlignment="1">
      <alignment horizontal="center"/>
    </xf>
    <xf numFmtId="0" fontId="0" fillId="21" borderId="1" xfId="0" applyFill="1" applyBorder="1"/>
    <xf numFmtId="0" fontId="27" fillId="0" borderId="0" xfId="0" applyFont="1"/>
    <xf numFmtId="0" fontId="29" fillId="0" borderId="0" xfId="0" applyFont="1" applyAlignment="1">
      <alignment vertical="center"/>
    </xf>
    <xf numFmtId="0" fontId="0" fillId="24" borderId="1" xfId="0" applyFill="1" applyBorder="1"/>
    <xf numFmtId="0" fontId="0" fillId="3" borderId="1" xfId="0" applyFill="1" applyBorder="1" applyAlignment="1">
      <alignment horizontal="center" wrapText="1"/>
    </xf>
    <xf numFmtId="0" fontId="19" fillId="21" borderId="1" xfId="0" applyFont="1" applyFill="1" applyBorder="1" applyAlignment="1">
      <alignment wrapText="1"/>
    </xf>
    <xf numFmtId="0" fontId="0" fillId="24" borderId="1" xfId="0" applyFill="1" applyBorder="1" applyAlignment="1">
      <alignment wrapText="1"/>
    </xf>
    <xf numFmtId="0" fontId="0" fillId="26" borderId="1" xfId="0" applyFill="1" applyBorder="1" applyAlignment="1">
      <alignment wrapText="1"/>
    </xf>
    <xf numFmtId="0" fontId="18" fillId="24" borderId="36" xfId="0" applyFont="1" applyFill="1" applyBorder="1" applyAlignment="1">
      <alignment wrapText="1"/>
    </xf>
    <xf numFmtId="0" fontId="30" fillId="4" borderId="1" xfId="0" applyFont="1" applyFill="1" applyBorder="1" applyAlignment="1" applyProtection="1">
      <alignment horizontal="left" wrapText="1"/>
      <protection locked="0"/>
    </xf>
    <xf numFmtId="0" fontId="30" fillId="27" borderId="1" xfId="0" applyFont="1" applyFill="1" applyBorder="1" applyAlignment="1" applyProtection="1">
      <alignment horizontal="left" wrapText="1"/>
      <protection locked="0"/>
    </xf>
    <xf numFmtId="0" fontId="31" fillId="28" borderId="1" xfId="0" applyFont="1" applyFill="1" applyBorder="1" applyAlignment="1" applyProtection="1">
      <alignment horizontal="left" wrapText="1"/>
      <protection locked="0"/>
    </xf>
    <xf numFmtId="0" fontId="31" fillId="22" borderId="1" xfId="0" applyFont="1" applyFill="1" applyBorder="1" applyAlignment="1">
      <alignment wrapText="1"/>
    </xf>
    <xf numFmtId="0" fontId="31" fillId="22" borderId="1" xfId="0" applyFont="1" applyFill="1" applyBorder="1" applyAlignment="1" applyProtection="1">
      <alignment horizontal="left" wrapText="1"/>
      <protection locked="0"/>
    </xf>
    <xf numFmtId="0" fontId="31" fillId="30" borderId="1" xfId="0" applyFont="1" applyFill="1" applyBorder="1" applyAlignment="1" applyProtection="1">
      <alignment horizontal="left" wrapText="1"/>
      <protection locked="0"/>
    </xf>
    <xf numFmtId="0" fontId="31" fillId="31" borderId="1" xfId="0" applyFont="1" applyFill="1" applyBorder="1" applyAlignment="1" applyProtection="1">
      <alignment horizontal="left" wrapText="1"/>
      <protection locked="0"/>
    </xf>
    <xf numFmtId="0" fontId="31" fillId="25" borderId="1" xfId="0" applyFont="1" applyFill="1" applyBorder="1" applyAlignment="1" applyProtection="1">
      <alignment horizontal="left" wrapText="1"/>
      <protection locked="0"/>
    </xf>
    <xf numFmtId="0" fontId="18" fillId="25" borderId="1" xfId="0" applyFont="1" applyFill="1" applyBorder="1" applyAlignment="1" applyProtection="1">
      <alignment horizontal="left" wrapText="1"/>
      <protection locked="0"/>
    </xf>
    <xf numFmtId="0" fontId="0" fillId="0" borderId="1" xfId="0" applyBorder="1"/>
    <xf numFmtId="0" fontId="33" fillId="3" borderId="1" xfId="0" applyFont="1" applyFill="1" applyBorder="1" applyAlignment="1">
      <alignment horizontal="center" wrapText="1"/>
    </xf>
    <xf numFmtId="0" fontId="3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33" fillId="0" borderId="35" xfId="0" applyFont="1" applyBorder="1" applyAlignment="1">
      <alignment wrapText="1"/>
    </xf>
    <xf numFmtId="0" fontId="18" fillId="0" borderId="37" xfId="0" applyFont="1" applyBorder="1" applyAlignment="1">
      <alignment wrapText="1"/>
    </xf>
    <xf numFmtId="0" fontId="33" fillId="3" borderId="1" xfId="0" applyFont="1" applyFill="1" applyBorder="1" applyAlignment="1">
      <alignment wrapText="1"/>
    </xf>
    <xf numFmtId="0" fontId="33" fillId="23" borderId="1" xfId="0" applyFont="1" applyFill="1" applyBorder="1" applyAlignment="1">
      <alignment wrapText="1"/>
    </xf>
    <xf numFmtId="0" fontId="18" fillId="0" borderId="1" xfId="0" applyFont="1" applyBorder="1" applyAlignment="1">
      <alignment wrapText="1"/>
    </xf>
    <xf numFmtId="0" fontId="33" fillId="0" borderId="0" xfId="0" applyFont="1" applyAlignment="1">
      <alignment wrapText="1"/>
    </xf>
    <xf numFmtId="0" fontId="33" fillId="0" borderId="37" xfId="0" applyFont="1" applyBorder="1" applyAlignment="1">
      <alignment wrapText="1"/>
    </xf>
    <xf numFmtId="0" fontId="29" fillId="0" borderId="1" xfId="0" applyFont="1" applyBorder="1" applyAlignment="1">
      <alignment vertical="center" wrapText="1"/>
    </xf>
    <xf numFmtId="0" fontId="36" fillId="0" borderId="1" xfId="0" applyFont="1" applyBorder="1" applyAlignment="1">
      <alignment vertical="center" wrapText="1"/>
    </xf>
    <xf numFmtId="0" fontId="37" fillId="0" borderId="37" xfId="0" applyFont="1" applyBorder="1" applyAlignment="1">
      <alignment vertical="center" wrapText="1"/>
    </xf>
    <xf numFmtId="0" fontId="36" fillId="3" borderId="1" xfId="0" applyFont="1" applyFill="1" applyBorder="1" applyAlignment="1">
      <alignment vertical="center" wrapText="1"/>
    </xf>
    <xf numFmtId="0" fontId="0" fillId="0" borderId="35" xfId="0" applyBorder="1"/>
    <xf numFmtId="0" fontId="38" fillId="0" borderId="1" xfId="0" applyFont="1" applyBorder="1" applyAlignment="1">
      <alignment wrapText="1"/>
    </xf>
    <xf numFmtId="0" fontId="18" fillId="5" borderId="1" xfId="0" applyFont="1" applyFill="1" applyBorder="1" applyAlignment="1">
      <alignment wrapText="1"/>
    </xf>
    <xf numFmtId="0" fontId="0" fillId="0" borderId="46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0" fillId="0" borderId="0" xfId="2"/>
    <xf numFmtId="0" fontId="15" fillId="0" borderId="19" xfId="3"/>
    <xf numFmtId="0" fontId="0" fillId="5" borderId="0" xfId="0" applyFill="1"/>
    <xf numFmtId="0" fontId="64" fillId="2" borderId="0" xfId="0" applyFont="1" applyFill="1"/>
    <xf numFmtId="0" fontId="31" fillId="23" borderId="1" xfId="0" applyFont="1" applyFill="1" applyBorder="1" applyAlignment="1">
      <alignment wrapText="1"/>
    </xf>
    <xf numFmtId="0" fontId="31" fillId="23" borderId="1" xfId="0" applyFont="1" applyFill="1" applyBorder="1"/>
    <xf numFmtId="0" fontId="31" fillId="23" borderId="37" xfId="0" applyFont="1" applyFill="1" applyBorder="1" applyAlignment="1">
      <alignment wrapText="1"/>
    </xf>
    <xf numFmtId="0" fontId="31" fillId="23" borderId="38" xfId="0" applyFont="1" applyFill="1" applyBorder="1" applyAlignment="1">
      <alignment wrapText="1"/>
    </xf>
    <xf numFmtId="0" fontId="31" fillId="23" borderId="39" xfId="0" applyFont="1" applyFill="1" applyBorder="1" applyAlignment="1">
      <alignment wrapText="1"/>
    </xf>
    <xf numFmtId="0" fontId="67" fillId="0" borderId="0" xfId="0" applyFont="1"/>
    <xf numFmtId="0" fontId="68" fillId="0" borderId="0" xfId="0" applyFont="1"/>
    <xf numFmtId="0" fontId="0" fillId="5" borderId="0" xfId="0" applyFill="1" applyProtection="1">
      <protection locked="0"/>
    </xf>
    <xf numFmtId="49" fontId="60" fillId="2" borderId="19" xfId="2" applyNumberFormat="1" applyFill="1" applyBorder="1" applyAlignment="1" applyProtection="1">
      <alignment horizontal="left" vertical="center"/>
    </xf>
    <xf numFmtId="0" fontId="8" fillId="0" borderId="0" xfId="0" applyFont="1" applyProtection="1">
      <protection locked="0"/>
    </xf>
    <xf numFmtId="14" fontId="8" fillId="0" borderId="0" xfId="0" applyNumberFormat="1" applyFont="1" applyProtection="1">
      <protection locked="0"/>
    </xf>
    <xf numFmtId="0" fontId="66" fillId="5" borderId="0" xfId="0" applyFont="1" applyFill="1" applyProtection="1">
      <protection locked="0"/>
    </xf>
    <xf numFmtId="0" fontId="69" fillId="0" borderId="0" xfId="0" applyFont="1"/>
    <xf numFmtId="49" fontId="69" fillId="0" borderId="0" xfId="0" applyNumberFormat="1" applyFont="1"/>
    <xf numFmtId="14" fontId="0" fillId="0" borderId="0" xfId="0" applyNumberFormat="1"/>
    <xf numFmtId="0" fontId="7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5" fillId="0" borderId="19" xfId="3" applyAlignment="1">
      <alignment horizontal="left" vertical="center" indent="3"/>
    </xf>
    <xf numFmtId="0" fontId="20" fillId="0" borderId="0" xfId="0" applyFont="1" applyAlignment="1">
      <alignment horizontal="left" vertical="center" indent="5"/>
    </xf>
    <xf numFmtId="0" fontId="20" fillId="0" borderId="0" xfId="0" applyFont="1"/>
    <xf numFmtId="0" fontId="20" fillId="0" borderId="0" xfId="0" applyFont="1" applyAlignment="1">
      <alignment horizontal="left" vertical="center" indent="2"/>
    </xf>
    <xf numFmtId="0" fontId="2" fillId="5" borderId="0" xfId="0" applyFont="1" applyFill="1"/>
    <xf numFmtId="0" fontId="19" fillId="5" borderId="0" xfId="0" applyFont="1" applyFill="1"/>
    <xf numFmtId="49" fontId="27" fillId="0" borderId="1" xfId="0" applyNumberFormat="1" applyFont="1" applyFill="1" applyBorder="1" applyAlignment="1">
      <alignment horizontal="left" vertical="center"/>
    </xf>
    <xf numFmtId="0" fontId="0" fillId="23" borderId="1" xfId="0" applyFont="1" applyFill="1" applyBorder="1"/>
    <xf numFmtId="49" fontId="27" fillId="0" borderId="35" xfId="0" applyNumberFormat="1" applyFont="1" applyFill="1" applyBorder="1" applyAlignment="1">
      <alignment horizontal="left" vertical="center"/>
    </xf>
    <xf numFmtId="0" fontId="65" fillId="0" borderId="35" xfId="0" applyFont="1" applyFill="1" applyBorder="1" applyAlignment="1">
      <alignment horizontal="left" vertical="center"/>
    </xf>
    <xf numFmtId="49" fontId="27" fillId="0" borderId="1" xfId="0" applyNumberFormat="1" applyFont="1" applyFill="1" applyBorder="1"/>
    <xf numFmtId="0" fontId="27" fillId="0" borderId="1" xfId="0" applyFont="1" applyFill="1" applyBorder="1"/>
    <xf numFmtId="0" fontId="27" fillId="0" borderId="0" xfId="0" applyFont="1" applyFill="1"/>
    <xf numFmtId="167" fontId="27" fillId="0" borderId="1" xfId="0" applyNumberFormat="1" applyFont="1" applyFill="1" applyBorder="1"/>
    <xf numFmtId="0" fontId="0" fillId="23" borderId="35" xfId="0" applyFont="1" applyFill="1" applyBorder="1"/>
    <xf numFmtId="0" fontId="27" fillId="2" borderId="1" xfId="0" applyFont="1" applyFill="1" applyBorder="1" applyAlignment="1">
      <alignment horizontal="left" vertical="center"/>
    </xf>
    <xf numFmtId="0" fontId="0" fillId="25" borderId="35" xfId="0" applyFont="1" applyFill="1" applyBorder="1" applyAlignment="1">
      <alignment horizontal="left" vertical="center"/>
    </xf>
    <xf numFmtId="0" fontId="0" fillId="0" borderId="0" xfId="0" applyFont="1" applyFill="1"/>
    <xf numFmtId="0" fontId="0" fillId="0" borderId="0" xfId="0" applyFont="1" applyFill="1" applyAlignment="1">
      <alignment wrapText="1"/>
    </xf>
    <xf numFmtId="49" fontId="27" fillId="2" borderId="0" xfId="0" applyNumberFormat="1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14" fontId="27" fillId="0" borderId="35" xfId="0" applyNumberFormat="1" applyFont="1" applyFill="1" applyBorder="1" applyAlignment="1">
      <alignment horizontal="left" vertical="center"/>
    </xf>
    <xf numFmtId="0" fontId="27" fillId="0" borderId="35" xfId="0" applyNumberFormat="1" applyFont="1" applyFill="1" applyBorder="1" applyAlignment="1">
      <alignment horizontal="left" vertical="center"/>
    </xf>
    <xf numFmtId="0" fontId="31" fillId="22" borderId="1" xfId="0" applyNumberFormat="1" applyFont="1" applyFill="1" applyBorder="1" applyAlignment="1" applyProtection="1">
      <alignment horizontal="left" wrapText="1"/>
      <protection locked="0"/>
    </xf>
    <xf numFmtId="0" fontId="32" fillId="22" borderId="1" xfId="0" applyNumberFormat="1" applyFont="1" applyFill="1" applyBorder="1" applyAlignment="1" applyProtection="1">
      <alignment horizontal="left" wrapText="1"/>
      <protection locked="0"/>
    </xf>
    <xf numFmtId="0" fontId="31" fillId="29" borderId="1" xfId="0" applyNumberFormat="1" applyFont="1" applyFill="1" applyBorder="1" applyAlignment="1" applyProtection="1">
      <alignment horizontal="left" wrapText="1"/>
      <protection locked="0"/>
    </xf>
    <xf numFmtId="0" fontId="31" fillId="24" borderId="1" xfId="0" applyNumberFormat="1" applyFont="1" applyFill="1" applyBorder="1" applyAlignment="1" applyProtection="1">
      <alignment horizontal="left" wrapText="1"/>
      <protection locked="0"/>
    </xf>
    <xf numFmtId="0" fontId="33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0" fillId="0" borderId="1" xfId="0" applyFont="1" applyBorder="1" applyAlignment="1">
      <alignment wrapText="1"/>
    </xf>
    <xf numFmtId="0" fontId="31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horizontal="left" wrapText="1"/>
    </xf>
    <xf numFmtId="0" fontId="18" fillId="0" borderId="1" xfId="0" applyFont="1" applyFill="1" applyBorder="1" applyAlignment="1">
      <alignment wrapText="1"/>
    </xf>
    <xf numFmtId="0" fontId="27" fillId="0" borderId="1" xfId="0" applyFont="1" applyBorder="1"/>
    <xf numFmtId="0" fontId="31" fillId="23" borderId="1" xfId="0" applyFont="1" applyFill="1" applyBorder="1" applyAlignment="1">
      <alignment horizontal="left" vertical="center"/>
    </xf>
    <xf numFmtId="0" fontId="84" fillId="0" borderId="0" xfId="0" applyFont="1"/>
    <xf numFmtId="0" fontId="85" fillId="0" borderId="0" xfId="0" applyFont="1"/>
    <xf numFmtId="0" fontId="16" fillId="0" borderId="20" xfId="4"/>
    <xf numFmtId="0" fontId="86" fillId="0" borderId="0" xfId="0" applyFont="1"/>
    <xf numFmtId="0" fontId="19" fillId="0" borderId="0" xfId="0" applyFont="1"/>
    <xf numFmtId="0" fontId="20" fillId="0" borderId="0" xfId="0" applyFont="1" applyAlignment="1">
      <alignment horizontal="left" vertical="top" wrapText="1"/>
    </xf>
    <xf numFmtId="0" fontId="0" fillId="23" borderId="28" xfId="0" applyFont="1" applyFill="1" applyBorder="1"/>
    <xf numFmtId="0" fontId="0" fillId="49" borderId="0" xfId="0" applyFill="1"/>
    <xf numFmtId="0" fontId="4" fillId="49" borderId="0" xfId="0" applyFont="1" applyFill="1"/>
    <xf numFmtId="0" fontId="4" fillId="50" borderId="44" xfId="0" applyFont="1" applyFill="1" applyBorder="1"/>
    <xf numFmtId="0" fontId="4" fillId="50" borderId="3" xfId="0" applyFont="1" applyFill="1" applyBorder="1"/>
    <xf numFmtId="0" fontId="4" fillId="50" borderId="9" xfId="0" applyFont="1" applyFill="1" applyBorder="1" applyAlignment="1">
      <alignment horizontal="left"/>
    </xf>
    <xf numFmtId="0" fontId="4" fillId="50" borderId="18" xfId="0" applyFont="1" applyFill="1" applyBorder="1" applyAlignment="1">
      <alignment horizontal="left"/>
    </xf>
    <xf numFmtId="0" fontId="4" fillId="50" borderId="10" xfId="0" applyFont="1" applyFill="1" applyBorder="1" applyAlignment="1">
      <alignment horizontal="left"/>
    </xf>
    <xf numFmtId="0" fontId="4" fillId="50" borderId="12" xfId="0" applyFont="1" applyFill="1" applyBorder="1" applyAlignment="1">
      <alignment horizontal="left"/>
    </xf>
    <xf numFmtId="0" fontId="4" fillId="50" borderId="13" xfId="0" applyFont="1" applyFill="1" applyBorder="1"/>
    <xf numFmtId="0" fontId="83" fillId="50" borderId="13" xfId="0" applyFont="1" applyFill="1" applyBorder="1"/>
    <xf numFmtId="0" fontId="4" fillId="50" borderId="15" xfId="0" applyFont="1" applyFill="1" applyBorder="1"/>
    <xf numFmtId="49" fontId="4" fillId="52" borderId="16" xfId="0" applyNumberFormat="1" applyFont="1" applyFill="1" applyBorder="1" applyAlignment="1" applyProtection="1">
      <alignment horizontal="left" vertical="center"/>
      <protection locked="0"/>
    </xf>
    <xf numFmtId="0" fontId="4" fillId="52" borderId="16" xfId="0" applyFont="1" applyFill="1" applyBorder="1" applyAlignment="1" applyProtection="1">
      <alignment horizontal="left" vertical="center"/>
      <protection locked="0"/>
    </xf>
    <xf numFmtId="0" fontId="4" fillId="50" borderId="40" xfId="0" applyFont="1" applyFill="1" applyBorder="1" applyAlignment="1">
      <alignment horizontal="left"/>
    </xf>
    <xf numFmtId="0" fontId="4" fillId="50" borderId="10" xfId="0" applyFont="1" applyFill="1" applyBorder="1"/>
    <xf numFmtId="0" fontId="4" fillId="50" borderId="42" xfId="0" applyFont="1" applyFill="1" applyBorder="1"/>
    <xf numFmtId="0" fontId="4" fillId="50" borderId="15" xfId="0" applyFont="1" applyFill="1" applyBorder="1" applyAlignment="1">
      <alignment horizontal="left" vertical="center"/>
    </xf>
    <xf numFmtId="0" fontId="4" fillId="50" borderId="13" xfId="0" applyFont="1" applyFill="1" applyBorder="1" applyAlignment="1">
      <alignment horizontal="left" vertical="center"/>
    </xf>
    <xf numFmtId="1" fontId="4" fillId="52" borderId="14" xfId="0" applyNumberFormat="1" applyFont="1" applyFill="1" applyBorder="1" applyAlignment="1" applyProtection="1">
      <alignment horizontal="left" vertical="center"/>
      <protection locked="0"/>
    </xf>
    <xf numFmtId="0" fontId="4" fillId="52" borderId="14" xfId="0" applyFont="1" applyFill="1" applyBorder="1" applyAlignment="1" applyProtection="1">
      <alignment horizontal="left" vertical="center"/>
      <protection locked="0"/>
    </xf>
    <xf numFmtId="0" fontId="4" fillId="50" borderId="32" xfId="0" applyFont="1" applyFill="1" applyBorder="1"/>
    <xf numFmtId="0" fontId="24" fillId="50" borderId="3" xfId="0" applyFont="1" applyFill="1" applyBorder="1"/>
    <xf numFmtId="0" fontId="24" fillId="50" borderId="4" xfId="0" applyFont="1" applyFill="1" applyBorder="1" applyProtection="1">
      <protection locked="0"/>
    </xf>
    <xf numFmtId="0" fontId="0" fillId="53" borderId="0" xfId="0" applyFill="1"/>
    <xf numFmtId="0" fontId="4" fillId="53" borderId="5" xfId="0" applyFont="1" applyFill="1" applyBorder="1"/>
    <xf numFmtId="0" fontId="4" fillId="53" borderId="0" xfId="0" applyFont="1" applyFill="1"/>
    <xf numFmtId="49" fontId="4" fillId="53" borderId="0" xfId="0" applyNumberFormat="1" applyFont="1" applyFill="1" applyAlignment="1" applyProtection="1">
      <alignment vertical="center"/>
      <protection locked="0"/>
    </xf>
    <xf numFmtId="0" fontId="4" fillId="53" borderId="0" xfId="0" applyFont="1" applyFill="1" applyAlignment="1">
      <alignment horizontal="left" vertical="center"/>
    </xf>
    <xf numFmtId="0" fontId="4" fillId="53" borderId="0" xfId="0" applyFont="1" applyFill="1" applyAlignment="1" applyProtection="1">
      <alignment horizontal="left" vertical="center"/>
      <protection locked="0"/>
    </xf>
    <xf numFmtId="0" fontId="12" fillId="53" borderId="0" xfId="0" applyFont="1" applyFill="1"/>
    <xf numFmtId="0" fontId="78" fillId="53" borderId="0" xfId="19" applyFont="1" applyFill="1" applyBorder="1" applyAlignment="1" applyProtection="1">
      <alignment horizontal="left"/>
    </xf>
    <xf numFmtId="0" fontId="4" fillId="53" borderId="0" xfId="0" applyFont="1" applyFill="1" applyAlignment="1" applyProtection="1">
      <alignment horizontal="left"/>
      <protection locked="0"/>
    </xf>
    <xf numFmtId="0" fontId="4" fillId="52" borderId="5" xfId="0" applyFont="1" applyFill="1" applyBorder="1"/>
    <xf numFmtId="0" fontId="10" fillId="52" borderId="14" xfId="19" applyFill="1" applyBorder="1" applyAlignment="1" applyProtection="1">
      <alignment horizontal="left" vertical="center"/>
      <protection locked="0"/>
    </xf>
    <xf numFmtId="49" fontId="4" fillId="52" borderId="14" xfId="0" applyNumberFormat="1" applyFont="1" applyFill="1" applyBorder="1" applyAlignment="1" applyProtection="1">
      <alignment horizontal="left" vertical="center"/>
      <protection locked="0"/>
    </xf>
    <xf numFmtId="0" fontId="10" fillId="52" borderId="43" xfId="19" applyFill="1" applyBorder="1" applyAlignment="1" applyProtection="1">
      <alignment horizontal="left" wrapText="1"/>
      <protection locked="0"/>
    </xf>
    <xf numFmtId="1" fontId="4" fillId="52" borderId="14" xfId="0" applyNumberFormat="1" applyFont="1" applyFill="1" applyBorder="1" applyAlignment="1" applyProtection="1">
      <alignment horizontal="left"/>
      <protection locked="0"/>
    </xf>
    <xf numFmtId="166" fontId="4" fillId="52" borderId="14" xfId="0" applyNumberFormat="1" applyFont="1" applyFill="1" applyBorder="1" applyAlignment="1" applyProtection="1">
      <alignment horizontal="left"/>
      <protection locked="0"/>
    </xf>
    <xf numFmtId="0" fontId="4" fillId="52" borderId="31" xfId="0" applyFont="1" applyFill="1" applyBorder="1" applyAlignment="1" applyProtection="1">
      <alignment horizontal="left"/>
      <protection locked="0"/>
    </xf>
    <xf numFmtId="2" fontId="4" fillId="52" borderId="14" xfId="0" applyNumberFormat="1" applyFont="1" applyFill="1" applyBorder="1" applyAlignment="1" applyProtection="1">
      <alignment horizontal="left"/>
      <protection locked="0"/>
    </xf>
    <xf numFmtId="0" fontId="44" fillId="52" borderId="45" xfId="0" applyFont="1" applyFill="1" applyBorder="1" applyAlignment="1" applyProtection="1">
      <alignment horizontal="left" wrapText="1"/>
      <protection locked="0"/>
    </xf>
    <xf numFmtId="0" fontId="5" fillId="52" borderId="14" xfId="0" applyFont="1" applyFill="1" applyBorder="1" applyAlignment="1" applyProtection="1">
      <alignment horizontal="left" vertical="center"/>
      <protection locked="0"/>
    </xf>
    <xf numFmtId="0" fontId="4" fillId="52" borderId="12" xfId="0" applyFont="1" applyFill="1" applyBorder="1" applyAlignment="1" applyProtection="1">
      <alignment horizontal="left" vertical="center"/>
      <protection locked="0"/>
    </xf>
    <xf numFmtId="0" fontId="25" fillId="52" borderId="34" xfId="19" applyFont="1" applyFill="1" applyBorder="1" applyAlignment="1">
      <alignment horizontal="left" vertical="center"/>
    </xf>
    <xf numFmtId="0" fontId="10" fillId="52" borderId="33" xfId="19" applyFill="1" applyBorder="1" applyAlignment="1" applyProtection="1">
      <alignment horizontal="right" vertical="center"/>
    </xf>
    <xf numFmtId="0" fontId="4" fillId="56" borderId="14" xfId="0" applyFont="1" applyFill="1" applyBorder="1" applyAlignment="1" applyProtection="1">
      <alignment horizontal="left" vertical="center"/>
      <protection locked="0"/>
    </xf>
    <xf numFmtId="165" fontId="4" fillId="56" borderId="14" xfId="0" applyNumberFormat="1" applyFont="1" applyFill="1" applyBorder="1" applyAlignment="1" applyProtection="1">
      <alignment horizontal="left" vertical="center"/>
      <protection locked="0"/>
    </xf>
    <xf numFmtId="0" fontId="90" fillId="55" borderId="36" xfId="0" applyFont="1" applyFill="1" applyBorder="1" applyAlignment="1" applyProtection="1">
      <alignment horizontal="center"/>
      <protection hidden="1"/>
    </xf>
    <xf numFmtId="0" fontId="0" fillId="0" borderId="0" xfId="0" applyFill="1"/>
    <xf numFmtId="0" fontId="92" fillId="0" borderId="0" xfId="0" applyFont="1"/>
    <xf numFmtId="0" fontId="93" fillId="0" borderId="0" xfId="0" applyFont="1"/>
    <xf numFmtId="0" fontId="4" fillId="50" borderId="47" xfId="0" applyFont="1" applyFill="1" applyBorder="1"/>
    <xf numFmtId="0" fontId="94" fillId="0" borderId="21" xfId="93" applyFont="1"/>
    <xf numFmtId="0" fontId="95" fillId="52" borderId="48" xfId="0" applyFont="1" applyFill="1" applyBorder="1" applyAlignment="1" applyProtection="1">
      <alignment horizontal="left" vertical="center"/>
      <protection locked="0"/>
    </xf>
    <xf numFmtId="0" fontId="4" fillId="53" borderId="0" xfId="0" applyFont="1" applyFill="1" applyBorder="1"/>
    <xf numFmtId="49" fontId="4" fillId="51" borderId="52" xfId="0" applyNumberFormat="1" applyFont="1" applyFill="1" applyBorder="1" applyAlignment="1" applyProtection="1">
      <alignment horizontal="left" vertical="center"/>
      <protection locked="0"/>
    </xf>
    <xf numFmtId="0" fontId="84" fillId="0" borderId="1" xfId="0" applyFont="1" applyBorder="1"/>
    <xf numFmtId="0" fontId="69" fillId="0" borderId="1" xfId="0" applyFont="1" applyBorder="1"/>
    <xf numFmtId="0" fontId="4" fillId="53" borderId="0" xfId="0" applyFont="1" applyFill="1" applyBorder="1" applyAlignment="1">
      <alignment horizontal="center"/>
    </xf>
    <xf numFmtId="0" fontId="0" fillId="53" borderId="0" xfId="0" applyFill="1" applyBorder="1"/>
    <xf numFmtId="1" fontId="4" fillId="52" borderId="16" xfId="0" applyNumberFormat="1" applyFont="1" applyFill="1" applyBorder="1" applyAlignment="1" applyProtection="1">
      <alignment horizontal="left"/>
      <protection locked="0"/>
    </xf>
    <xf numFmtId="0" fontId="4" fillId="50" borderId="41" xfId="0" applyFont="1" applyFill="1" applyBorder="1" applyAlignment="1">
      <alignment horizontal="left"/>
    </xf>
    <xf numFmtId="0" fontId="23" fillId="57" borderId="50" xfId="0" applyFont="1" applyFill="1" applyBorder="1" applyAlignment="1">
      <alignment horizontal="center"/>
    </xf>
    <xf numFmtId="49" fontId="4" fillId="57" borderId="4" xfId="0" applyNumberFormat="1" applyFont="1" applyFill="1" applyBorder="1" applyAlignment="1" applyProtection="1">
      <alignment horizontal="left" vertical="center"/>
      <protection locked="0"/>
    </xf>
    <xf numFmtId="0" fontId="4" fillId="57" borderId="14" xfId="0" applyFont="1" applyFill="1" applyBorder="1" applyAlignment="1" applyProtection="1">
      <alignment horizontal="left" vertical="center"/>
      <protection locked="0"/>
    </xf>
    <xf numFmtId="165" fontId="4" fillId="57" borderId="14" xfId="0" applyNumberFormat="1" applyFont="1" applyFill="1" applyBorder="1" applyAlignment="1" applyProtection="1">
      <alignment horizontal="left" vertical="center"/>
      <protection locked="0"/>
    </xf>
    <xf numFmtId="14" fontId="4" fillId="57" borderId="14" xfId="0" applyNumberFormat="1" applyFont="1" applyFill="1" applyBorder="1" applyAlignment="1" applyProtection="1">
      <alignment horizontal="left"/>
      <protection locked="0"/>
    </xf>
    <xf numFmtId="0" fontId="4" fillId="57" borderId="4" xfId="0" applyFont="1" applyFill="1" applyBorder="1"/>
    <xf numFmtId="0" fontId="16" fillId="0" borderId="0" xfId="4" applyBorder="1"/>
    <xf numFmtId="0" fontId="19" fillId="0" borderId="1" xfId="0" applyFont="1" applyBorder="1"/>
    <xf numFmtId="0" fontId="20" fillId="0" borderId="0" xfId="0" applyFont="1" applyAlignment="1">
      <alignment wrapText="1"/>
    </xf>
    <xf numFmtId="0" fontId="13" fillId="59" borderId="0" xfId="0" applyFont="1" applyFill="1" applyProtection="1">
      <protection hidden="1"/>
    </xf>
    <xf numFmtId="49" fontId="11" fillId="5" borderId="49" xfId="0" applyNumberFormat="1" applyFont="1" applyFill="1" applyBorder="1" applyAlignment="1" applyProtection="1">
      <alignment horizontal="center" vertical="center" textRotation="90" wrapText="1"/>
      <protection hidden="1"/>
    </xf>
    <xf numFmtId="49" fontId="11" fillId="5" borderId="54" xfId="0" applyNumberFormat="1" applyFont="1" applyFill="1" applyBorder="1" applyAlignment="1" applyProtection="1">
      <alignment horizontal="center" vertical="center" textRotation="90" wrapText="1"/>
      <protection hidden="1"/>
    </xf>
    <xf numFmtId="0" fontId="24" fillId="59" borderId="0" xfId="0" applyFont="1" applyFill="1" applyProtection="1">
      <protection hidden="1"/>
    </xf>
    <xf numFmtId="0" fontId="24" fillId="59" borderId="0" xfId="0" applyFont="1" applyFill="1" applyProtection="1">
      <protection locked="0"/>
    </xf>
    <xf numFmtId="0" fontId="24" fillId="0" borderId="0" xfId="0" applyFont="1" applyProtection="1">
      <protection hidden="1"/>
    </xf>
    <xf numFmtId="0" fontId="99" fillId="59" borderId="36" xfId="0" applyFont="1" applyFill="1" applyBorder="1" applyAlignment="1" applyProtection="1">
      <alignment horizontal="center"/>
      <protection hidden="1"/>
    </xf>
    <xf numFmtId="0" fontId="24" fillId="59" borderId="0" xfId="0" applyFont="1" applyFill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0" fontId="98" fillId="0" borderId="0" xfId="0" applyFont="1" applyAlignment="1" applyProtection="1">
      <alignment horizontal="left" vertical="center" wrapText="1"/>
      <protection locked="0"/>
    </xf>
    <xf numFmtId="0" fontId="24" fillId="5" borderId="10" xfId="0" applyFont="1" applyFill="1" applyBorder="1" applyAlignment="1" applyProtection="1">
      <alignment horizontal="center" vertical="center" wrapText="1"/>
      <protection hidden="1"/>
    </xf>
    <xf numFmtId="0" fontId="24" fillId="5" borderId="11" xfId="0" applyFont="1" applyFill="1" applyBorder="1" applyAlignment="1" applyProtection="1">
      <alignment horizontal="center" vertical="center" wrapText="1"/>
      <protection hidden="1"/>
    </xf>
    <xf numFmtId="0" fontId="24" fillId="5" borderId="18" xfId="0" applyFont="1" applyFill="1" applyBorder="1" applyAlignment="1" applyProtection="1">
      <alignment horizontal="center" vertical="center" wrapText="1"/>
      <protection hidden="1"/>
    </xf>
    <xf numFmtId="0" fontId="98" fillId="58" borderId="1" xfId="92" applyFont="1" applyFill="1" applyBorder="1">
      <alignment horizontal="left" vertical="top" wrapText="1"/>
      <protection locked="0"/>
    </xf>
    <xf numFmtId="0" fontId="24" fillId="0" borderId="0" xfId="0" applyFont="1"/>
    <xf numFmtId="0" fontId="23" fillId="59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59" borderId="0" xfId="0" applyFont="1" applyFill="1" applyProtection="1">
      <protection hidden="1"/>
    </xf>
    <xf numFmtId="0" fontId="23" fillId="0" borderId="0" xfId="0" applyFont="1" applyAlignment="1" applyProtection="1">
      <alignment horizontal="center" vertical="center"/>
      <protection locked="0"/>
    </xf>
    <xf numFmtId="0" fontId="91" fillId="59" borderId="0" xfId="0" applyFont="1" applyFill="1" applyAlignment="1" applyProtection="1">
      <alignment horizontal="center" vertical="center" wrapText="1"/>
      <protection hidden="1"/>
    </xf>
    <xf numFmtId="0" fontId="6" fillId="59" borderId="0" xfId="0" applyFont="1" applyFill="1" applyAlignment="1" applyProtection="1">
      <alignment horizontal="center" vertical="center"/>
      <protection hidden="1"/>
    </xf>
    <xf numFmtId="0" fontId="91" fillId="59" borderId="0" xfId="0" applyFont="1" applyFill="1" applyAlignment="1" applyProtection="1">
      <alignment horizontal="center" vertical="center" wrapText="1"/>
      <protection locked="0"/>
    </xf>
    <xf numFmtId="0" fontId="23" fillId="59" borderId="0" xfId="0" applyFont="1" applyFill="1" applyAlignment="1" applyProtection="1">
      <alignment horizontal="center" vertical="center" wrapText="1"/>
      <protection locked="0"/>
    </xf>
    <xf numFmtId="0" fontId="6" fillId="59" borderId="0" xfId="0" applyFont="1" applyFill="1" applyAlignment="1" applyProtection="1">
      <alignment horizontal="center" vertical="center"/>
      <protection locked="0"/>
    </xf>
    <xf numFmtId="49" fontId="100" fillId="4" borderId="51" xfId="0" applyNumberFormat="1" applyFont="1" applyFill="1" applyBorder="1" applyAlignment="1" applyProtection="1">
      <alignment horizontal="center" vertical="center" wrapText="1"/>
      <protection hidden="1"/>
    </xf>
    <xf numFmtId="49" fontId="101" fillId="30" borderId="51" xfId="0" applyNumberFormat="1" applyFont="1" applyFill="1" applyBorder="1" applyAlignment="1" applyProtection="1">
      <alignment horizontal="center" vertical="center" wrapText="1"/>
      <protection hidden="1"/>
    </xf>
    <xf numFmtId="49" fontId="102" fillId="30" borderId="51" xfId="0" applyNumberFormat="1" applyFont="1" applyFill="1" applyBorder="1" applyAlignment="1" applyProtection="1">
      <alignment horizontal="center" vertical="center" wrapText="1"/>
      <protection hidden="1"/>
    </xf>
    <xf numFmtId="49" fontId="103" fillId="3" borderId="51" xfId="0" applyNumberFormat="1" applyFont="1" applyFill="1" applyBorder="1" applyAlignment="1" applyProtection="1">
      <alignment horizontal="center" vertical="center" wrapText="1"/>
      <protection hidden="1"/>
    </xf>
    <xf numFmtId="49" fontId="104" fillId="5" borderId="51" xfId="0" applyNumberFormat="1" applyFont="1" applyFill="1" applyBorder="1" applyAlignment="1" applyProtection="1">
      <alignment horizontal="center" vertical="center" wrapText="1"/>
      <protection hidden="1"/>
    </xf>
    <xf numFmtId="1" fontId="23" fillId="0" borderId="1" xfId="72" applyFont="1" applyBorder="1" applyAlignment="1">
      <alignment horizontal="center" vertical="center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1" fillId="0" borderId="0" xfId="0" applyFont="1" applyAlignment="1" applyProtection="1">
      <alignment horizontal="center" vertical="center" wrapText="1"/>
      <protection locked="0"/>
    </xf>
    <xf numFmtId="0" fontId="91" fillId="59" borderId="0" xfId="0" applyFont="1" applyFill="1" applyAlignment="1" applyProtection="1">
      <alignment horizontal="center" vertical="center"/>
      <protection locked="0"/>
    </xf>
    <xf numFmtId="0" fontId="91" fillId="0" borderId="0" xfId="0" applyFont="1" applyAlignment="1" applyProtection="1">
      <alignment horizontal="center" vertical="center"/>
      <protection locked="0"/>
    </xf>
    <xf numFmtId="0" fontId="91" fillId="59" borderId="0" xfId="0" applyFont="1" applyFill="1" applyAlignment="1" applyProtection="1">
      <alignment horizontal="center" vertical="center"/>
      <protection hidden="1"/>
    </xf>
    <xf numFmtId="49" fontId="106" fillId="30" borderId="28" xfId="0" applyNumberFormat="1" applyFont="1" applyFill="1" applyBorder="1" applyAlignment="1" applyProtection="1">
      <alignment horizontal="center" vertical="center" wrapText="1"/>
      <protection hidden="1"/>
    </xf>
    <xf numFmtId="0" fontId="97" fillId="59" borderId="0" xfId="0" applyFont="1" applyFill="1" applyAlignment="1" applyProtection="1">
      <alignment horizontal="center" vertical="center"/>
      <protection hidden="1"/>
    </xf>
    <xf numFmtId="0" fontId="97" fillId="59" borderId="0" xfId="0" applyFont="1" applyFill="1" applyAlignment="1" applyProtection="1">
      <alignment horizontal="center" vertical="center"/>
      <protection locked="0"/>
    </xf>
    <xf numFmtId="49" fontId="107" fillId="5" borderId="51" xfId="0" applyNumberFormat="1" applyFont="1" applyFill="1" applyBorder="1" applyAlignment="1" applyProtection="1">
      <alignment horizontal="center" vertical="center" wrapText="1"/>
      <protection hidden="1"/>
    </xf>
    <xf numFmtId="0" fontId="97" fillId="0" borderId="0" xfId="0" applyFont="1" applyAlignment="1" applyProtection="1">
      <alignment horizontal="center" vertical="center"/>
      <protection locked="0"/>
    </xf>
    <xf numFmtId="0" fontId="91" fillId="23" borderId="7" xfId="0" applyFont="1" applyFill="1" applyBorder="1" applyAlignment="1" applyProtection="1">
      <alignment horizontal="left" vertical="center"/>
      <protection hidden="1"/>
    </xf>
    <xf numFmtId="0" fontId="91" fillId="30" borderId="7" xfId="0" applyFont="1" applyFill="1" applyBorder="1" applyAlignment="1" applyProtection="1">
      <alignment horizontal="left" vertical="center"/>
      <protection hidden="1"/>
    </xf>
    <xf numFmtId="0" fontId="91" fillId="55" borderId="0" xfId="0" applyFont="1" applyFill="1" applyAlignment="1" applyProtection="1">
      <alignment horizontal="left"/>
      <protection hidden="1"/>
    </xf>
    <xf numFmtId="49" fontId="91" fillId="23" borderId="7" xfId="0" applyNumberFormat="1" applyFont="1" applyFill="1" applyBorder="1" applyAlignment="1" applyProtection="1">
      <alignment horizontal="left" vertical="center" wrapText="1"/>
      <protection hidden="1"/>
    </xf>
    <xf numFmtId="49" fontId="91" fillId="23" borderId="0" xfId="0" applyNumberFormat="1" applyFont="1" applyFill="1" applyAlignment="1" applyProtection="1">
      <alignment horizontal="left" vertical="center" wrapText="1"/>
      <protection hidden="1"/>
    </xf>
    <xf numFmtId="49" fontId="91" fillId="55" borderId="0" xfId="0" applyNumberFormat="1" applyFont="1" applyFill="1" applyAlignment="1" applyProtection="1">
      <alignment horizontal="left" vertical="center" wrapText="1"/>
      <protection hidden="1"/>
    </xf>
    <xf numFmtId="49" fontId="91" fillId="59" borderId="0" xfId="0" applyNumberFormat="1" applyFont="1" applyFill="1" applyAlignment="1" applyProtection="1">
      <alignment horizontal="left" vertical="center" wrapText="1"/>
      <protection hidden="1"/>
    </xf>
    <xf numFmtId="0" fontId="91" fillId="59" borderId="0" xfId="0" applyFont="1" applyFill="1" applyAlignment="1" applyProtection="1">
      <alignment horizontal="left"/>
      <protection hidden="1"/>
    </xf>
    <xf numFmtId="0" fontId="91" fillId="0" borderId="0" xfId="0" applyFont="1" applyAlignment="1" applyProtection="1">
      <alignment horizontal="left"/>
      <protection hidden="1"/>
    </xf>
    <xf numFmtId="49" fontId="106" fillId="4" borderId="28" xfId="0" applyNumberFormat="1" applyFont="1" applyFill="1" applyBorder="1" applyAlignment="1" applyProtection="1">
      <alignment horizontal="center" vertical="center" wrapText="1"/>
      <protection hidden="1"/>
    </xf>
    <xf numFmtId="0" fontId="108" fillId="59" borderId="0" xfId="0" applyFont="1" applyFill="1" applyAlignment="1" applyProtection="1">
      <alignment horizontal="center" vertical="center"/>
      <protection hidden="1"/>
    </xf>
    <xf numFmtId="0" fontId="4" fillId="59" borderId="0" xfId="0" applyFont="1" applyFill="1" applyAlignment="1" applyProtection="1">
      <alignment horizontal="center" vertical="center"/>
      <protection locked="0"/>
    </xf>
    <xf numFmtId="0" fontId="4" fillId="3" borderId="0" xfId="0" applyNumberFormat="1" applyFont="1" applyFill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59" borderId="0" xfId="0" applyNumberFormat="1" applyFont="1" applyFill="1" applyAlignment="1" applyProtection="1">
      <alignment horizontal="center" vertical="center"/>
      <protection locked="0"/>
    </xf>
    <xf numFmtId="0" fontId="4" fillId="59" borderId="0" xfId="0" applyFont="1" applyFill="1" applyAlignment="1" applyProtection="1">
      <alignment horizontal="center" vertical="center"/>
      <protection hidden="1"/>
    </xf>
    <xf numFmtId="0" fontId="4" fillId="59" borderId="0" xfId="0" applyFont="1" applyFill="1" applyAlignment="1" applyProtection="1">
      <alignment horizontal="center" vertical="center" wrapText="1"/>
      <protection locked="0"/>
    </xf>
    <xf numFmtId="0" fontId="8" fillId="23" borderId="7" xfId="0" applyFont="1" applyFill="1" applyBorder="1" applyAlignment="1" applyProtection="1">
      <alignment horizontal="left" vertical="center"/>
      <protection hidden="1"/>
    </xf>
    <xf numFmtId="0" fontId="8" fillId="23" borderId="7" xfId="0" applyNumberFormat="1" applyFont="1" applyFill="1" applyBorder="1" applyAlignment="1" applyProtection="1">
      <alignment horizontal="left" vertical="center"/>
      <protection locked="0"/>
    </xf>
    <xf numFmtId="0" fontId="8" fillId="23" borderId="0" xfId="0" applyFont="1" applyFill="1" applyAlignment="1" applyProtection="1">
      <alignment horizontal="left" vertical="center"/>
      <protection hidden="1"/>
    </xf>
    <xf numFmtId="49" fontId="109" fillId="3" borderId="30" xfId="0" applyNumberFormat="1" applyFont="1" applyFill="1" applyBorder="1" applyAlignment="1">
      <alignment horizontal="center" vertical="center" wrapText="1"/>
    </xf>
    <xf numFmtId="0" fontId="109" fillId="3" borderId="30" xfId="0" applyNumberFormat="1" applyFont="1" applyFill="1" applyBorder="1" applyAlignment="1">
      <alignment horizontal="center" vertical="center" wrapText="1"/>
    </xf>
    <xf numFmtId="49" fontId="109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109" fillId="3" borderId="28" xfId="0" applyNumberFormat="1" applyFont="1" applyFill="1" applyBorder="1" applyAlignment="1" applyProtection="1">
      <alignment horizontal="center" vertical="center" wrapText="1"/>
      <protection hidden="1"/>
    </xf>
    <xf numFmtId="49" fontId="110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10" fillId="3" borderId="53" xfId="0" applyNumberFormat="1" applyFont="1" applyFill="1" applyBorder="1" applyAlignment="1" applyProtection="1">
      <alignment horizontal="center" vertical="center" wrapText="1"/>
      <protection locked="0"/>
    </xf>
    <xf numFmtId="49" fontId="110" fillId="3" borderId="51" xfId="0" applyNumberFormat="1" applyFont="1" applyFill="1" applyBorder="1" applyAlignment="1" applyProtection="1">
      <alignment horizontal="center" vertical="center" wrapText="1"/>
      <protection hidden="1"/>
    </xf>
    <xf numFmtId="1" fontId="4" fillId="0" borderId="1" xfId="94" applyFont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" fontId="91" fillId="0" borderId="1" xfId="95" applyFont="1">
      <alignment horizontal="left" vertical="center" wrapText="1"/>
      <protection locked="0"/>
    </xf>
    <xf numFmtId="1" fontId="23" fillId="0" borderId="1" xfId="95" applyFont="1">
      <alignment horizontal="left" vertical="center" wrapText="1"/>
      <protection locked="0"/>
    </xf>
    <xf numFmtId="168" fontId="91" fillId="0" borderId="1" xfId="96" applyFont="1">
      <alignment horizontal="center" vertical="center" wrapText="1"/>
      <protection locked="0"/>
    </xf>
    <xf numFmtId="0" fontId="91" fillId="0" borderId="1" xfId="97">
      <alignment horizontal="center" vertical="center" wrapText="1"/>
      <protection locked="0"/>
    </xf>
    <xf numFmtId="0" fontId="91" fillId="0" borderId="1" xfId="97" applyFont="1">
      <alignment horizontal="center" vertical="center" wrapText="1"/>
      <protection locked="0"/>
    </xf>
    <xf numFmtId="49" fontId="91" fillId="59" borderId="0" xfId="0" applyNumberFormat="1" applyFont="1" applyFill="1" applyAlignment="1" applyProtection="1">
      <alignment horizontal="center" vertical="center" wrapText="1"/>
      <protection hidden="1"/>
    </xf>
    <xf numFmtId="49" fontId="105" fillId="59" borderId="36" xfId="0" applyNumberFormat="1" applyFont="1" applyFill="1" applyBorder="1" applyAlignment="1" applyProtection="1">
      <alignment horizontal="center" vertical="center" wrapText="1"/>
      <protection hidden="1"/>
    </xf>
    <xf numFmtId="49" fontId="91" fillId="59" borderId="0" xfId="0" applyNumberFormat="1" applyFont="1" applyFill="1" applyAlignment="1" applyProtection="1">
      <alignment horizontal="center" vertical="center" wrapText="1"/>
      <protection locked="0"/>
    </xf>
    <xf numFmtId="49" fontId="111" fillId="5" borderId="51" xfId="0" applyNumberFormat="1" applyFont="1" applyFill="1" applyBorder="1" applyAlignment="1" applyProtection="1">
      <alignment horizontal="center" vertical="center" wrapText="1"/>
      <protection hidden="1"/>
    </xf>
    <xf numFmtId="49" fontId="111" fillId="5" borderId="31" xfId="0" applyNumberFormat="1" applyFont="1" applyFill="1" applyBorder="1" applyAlignment="1" applyProtection="1">
      <alignment horizontal="center" vertical="center" wrapText="1"/>
      <protection hidden="1"/>
    </xf>
    <xf numFmtId="49" fontId="111" fillId="5" borderId="49" xfId="0" applyNumberFormat="1" applyFont="1" applyFill="1" applyBorder="1" applyAlignment="1" applyProtection="1">
      <alignment horizontal="center" vertical="center" wrapText="1"/>
      <protection hidden="1"/>
    </xf>
    <xf numFmtId="49" fontId="112" fillId="4" borderId="49" xfId="0" applyNumberFormat="1" applyFont="1" applyFill="1" applyBorder="1" applyAlignment="1" applyProtection="1">
      <alignment horizontal="center" vertical="center" textRotation="90" wrapText="1"/>
      <protection hidden="1"/>
    </xf>
    <xf numFmtId="49" fontId="91" fillId="0" borderId="0" xfId="0" applyNumberFormat="1" applyFont="1" applyAlignment="1" applyProtection="1">
      <alignment horizontal="center" vertical="center" wrapText="1"/>
      <protection locked="0"/>
    </xf>
    <xf numFmtId="1" fontId="6" fillId="0" borderId="1" xfId="94" applyFont="1">
      <alignment horizontal="center" vertical="center" wrapText="1"/>
      <protection locked="0"/>
    </xf>
    <xf numFmtId="49" fontId="106" fillId="30" borderId="28" xfId="0" applyNumberFormat="1" applyFont="1" applyFill="1" applyBorder="1" applyAlignment="1" applyProtection="1">
      <alignment horizontal="center" vertical="center" textRotation="90" wrapText="1"/>
      <protection hidden="1"/>
    </xf>
    <xf numFmtId="0" fontId="23" fillId="26" borderId="1" xfId="0" applyFont="1" applyFill="1" applyBorder="1" applyAlignment="1">
      <alignment horizontal="center" vertical="center" textRotation="90" wrapText="1"/>
    </xf>
    <xf numFmtId="0" fontId="91" fillId="26" borderId="1" xfId="0" applyFont="1" applyFill="1" applyBorder="1" applyAlignment="1">
      <alignment horizontal="center" vertical="center" textRotation="90" wrapText="1"/>
    </xf>
    <xf numFmtId="0" fontId="113" fillId="26" borderId="1" xfId="0" applyFont="1" applyFill="1" applyBorder="1" applyAlignment="1">
      <alignment horizontal="center" vertical="center" textRotation="90" wrapText="1"/>
    </xf>
    <xf numFmtId="49" fontId="113" fillId="26" borderId="1" xfId="0" applyNumberFormat="1" applyFont="1" applyFill="1" applyBorder="1" applyAlignment="1">
      <alignment horizontal="center" vertical="center" textRotation="90" wrapText="1"/>
    </xf>
    <xf numFmtId="49" fontId="114" fillId="30" borderId="28" xfId="0" applyNumberFormat="1" applyFont="1" applyFill="1" applyBorder="1" applyAlignment="1" applyProtection="1">
      <alignment horizontal="center" vertical="center" textRotation="90" wrapText="1"/>
      <protection hidden="1"/>
    </xf>
    <xf numFmtId="49" fontId="114" fillId="30" borderId="29" xfId="0" applyNumberFormat="1" applyFont="1" applyFill="1" applyBorder="1" applyAlignment="1" applyProtection="1">
      <alignment horizontal="center" vertical="center" textRotation="90" wrapText="1"/>
      <protection hidden="1"/>
    </xf>
    <xf numFmtId="49" fontId="113" fillId="30" borderId="0" xfId="0" applyNumberFormat="1" applyFont="1" applyFill="1" applyAlignment="1" applyProtection="1">
      <alignment horizontal="center" vertical="center" textRotation="90" wrapText="1"/>
      <protection hidden="1"/>
    </xf>
    <xf numFmtId="0" fontId="115" fillId="59" borderId="36" xfId="0" applyFont="1" applyFill="1" applyBorder="1" applyAlignment="1" applyProtection="1">
      <alignment horizontal="center"/>
      <protection hidden="1"/>
    </xf>
    <xf numFmtId="0" fontId="97" fillId="0" borderId="1" xfId="97" applyFont="1">
      <alignment horizontal="center" vertical="center" wrapText="1"/>
      <protection locked="0"/>
    </xf>
    <xf numFmtId="0" fontId="0" fillId="0" borderId="1" xfId="0" applyBorder="1" applyAlignment="1">
      <alignment vertical="top"/>
    </xf>
    <xf numFmtId="49" fontId="0" fillId="0" borderId="1" xfId="0" applyNumberFormat="1" applyBorder="1" applyAlignment="1">
      <alignment horizontal="left" vertical="top" wrapText="1"/>
    </xf>
    <xf numFmtId="14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49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vertical="top"/>
    </xf>
    <xf numFmtId="49" fontId="0" fillId="0" borderId="0" xfId="0" applyNumberFormat="1" applyAlignment="1">
      <alignment vertical="top"/>
    </xf>
    <xf numFmtId="49" fontId="3" fillId="3" borderId="30" xfId="0" applyNumberFormat="1" applyFont="1" applyFill="1" applyBorder="1" applyAlignment="1">
      <alignment horizontal="center" vertical="center" wrapText="1"/>
    </xf>
    <xf numFmtId="1" fontId="4" fillId="2" borderId="1" xfId="16" applyNumberFormat="1" applyFont="1" applyFill="1" applyBorder="1" applyAlignment="1">
      <alignment horizontal="center" vertical="center" wrapText="1"/>
      <protection locked="0"/>
    </xf>
    <xf numFmtId="49" fontId="95" fillId="2" borderId="1" xfId="16" applyNumberFormat="1" applyFont="1" applyFill="1" applyBorder="1" applyAlignment="1">
      <alignment horizontal="center" vertical="center" wrapText="1"/>
      <protection locked="0"/>
    </xf>
    <xf numFmtId="0" fontId="4" fillId="54" borderId="17" xfId="0" applyFont="1" applyFill="1" applyBorder="1" applyAlignment="1">
      <alignment horizontal="left" vertical="center" wrapText="1"/>
    </xf>
    <xf numFmtId="0" fontId="4" fillId="54" borderId="2" xfId="0" applyFont="1" applyFill="1" applyBorder="1" applyAlignment="1">
      <alignment horizontal="left" vertical="center" wrapText="1"/>
    </xf>
    <xf numFmtId="0" fontId="4" fillId="54" borderId="6" xfId="0" applyFont="1" applyFill="1" applyBorder="1" applyAlignment="1">
      <alignment horizontal="left" vertical="center" wrapText="1"/>
    </xf>
    <xf numFmtId="0" fontId="4" fillId="54" borderId="8" xfId="0" applyFont="1" applyFill="1" applyBorder="1" applyAlignment="1">
      <alignment horizontal="left" vertical="center" wrapText="1"/>
    </xf>
    <xf numFmtId="0" fontId="16" fillId="0" borderId="0" xfId="4" applyBorder="1" applyAlignment="1">
      <alignment wrapText="1"/>
    </xf>
    <xf numFmtId="0" fontId="0" fillId="0" borderId="0" xfId="0" applyAlignment="1"/>
    <xf numFmtId="0" fontId="20" fillId="0" borderId="0" xfId="0" applyFont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73" fillId="0" borderId="1" xfId="0" applyFont="1" applyBorder="1" applyAlignment="1">
      <alignment horizontal="left" vertical="top" wrapText="1"/>
    </xf>
    <xf numFmtId="0" fontId="73" fillId="0" borderId="1" xfId="0" applyFont="1" applyBorder="1" applyAlignment="1">
      <alignment horizontal="left" vertical="top"/>
    </xf>
    <xf numFmtId="0" fontId="96" fillId="0" borderId="35" xfId="0" applyFont="1" applyBorder="1" applyAlignment="1">
      <alignment horizontal="left" vertical="top" wrapText="1"/>
    </xf>
    <xf numFmtId="0" fontId="96" fillId="0" borderId="36" xfId="0" applyFont="1" applyBorder="1" applyAlignment="1">
      <alignment horizontal="left" vertical="top" wrapText="1"/>
    </xf>
    <xf numFmtId="0" fontId="96" fillId="0" borderId="37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wrapText="1"/>
    </xf>
  </cellXfs>
  <cellStyles count="98">
    <cellStyle name="20 % - Akzent1" xfId="5" builtinId="30" customBuiltin="1"/>
    <cellStyle name="20 % - Akzent1 2" xfId="20"/>
    <cellStyle name="20 % - Akzent2" xfId="7" builtinId="34" customBuiltin="1"/>
    <cellStyle name="20 % - Akzent2 2" xfId="21"/>
    <cellStyle name="20 % - Akzent3" xfId="9" builtinId="38" customBuiltin="1"/>
    <cellStyle name="20 % - Akzent3 2" xfId="22"/>
    <cellStyle name="20 % - Akzent4" xfId="11" builtinId="42" customBuiltin="1"/>
    <cellStyle name="20 % - Akzent4 2" xfId="23"/>
    <cellStyle name="20 % - Akzent5" xfId="13" builtinId="46" customBuiltin="1"/>
    <cellStyle name="20 % - Akzent5 2" xfId="24"/>
    <cellStyle name="20 % - Akzent6" xfId="14" builtinId="50" customBuiltin="1"/>
    <cellStyle name="20 % - Akzent6 2" xfId="25"/>
    <cellStyle name="40 % - Akzent1" xfId="6" builtinId="31" customBuiltin="1"/>
    <cellStyle name="40 % - Akzent1 2" xfId="26"/>
    <cellStyle name="40 % - Akzent2" xfId="8" builtinId="35" customBuiltin="1"/>
    <cellStyle name="40 % - Akzent2 2" xfId="27"/>
    <cellStyle name="40 % - Akzent3" xfId="10" builtinId="39" customBuiltin="1"/>
    <cellStyle name="40 % - Akzent3 2" xfId="28"/>
    <cellStyle name="40 % - Akzent4" xfId="12" builtinId="43" customBuiltin="1"/>
    <cellStyle name="40 % - Akzent4 2" xfId="29"/>
    <cellStyle name="40 % - Akzent5 2" xfId="30"/>
    <cellStyle name="40 % - Akzent6 2" xfId="31"/>
    <cellStyle name="60 % - Akzent1 2" xfId="32"/>
    <cellStyle name="60 % - Akzent2 2" xfId="33"/>
    <cellStyle name="60 % - Akzent3 2" xfId="34"/>
    <cellStyle name="60 % - Akzent4 2" xfId="35"/>
    <cellStyle name="60 % - Akzent5 2" xfId="36"/>
    <cellStyle name="60 % - Akzent6 2" xfId="37"/>
    <cellStyle name="ACHTUNG" xfId="38"/>
    <cellStyle name="Akzent1 2" xfId="39"/>
    <cellStyle name="Akzent2 2" xfId="40"/>
    <cellStyle name="Akzent3 2" xfId="41"/>
    <cellStyle name="Akzent4 2" xfId="42"/>
    <cellStyle name="Akzent5 2" xfId="43"/>
    <cellStyle name="Akzent6 2" xfId="44"/>
    <cellStyle name="AL-Flaeche" xfId="96"/>
    <cellStyle name="AL-links" xfId="95"/>
    <cellStyle name="AL-z" xfId="97"/>
    <cellStyle name="AL-z-fett" xfId="94"/>
    <cellStyle name="Analysenumfang" xfId="15"/>
    <cellStyle name="Ausgabe 2" xfId="45"/>
    <cellStyle name="Barcode" xfId="16"/>
    <cellStyle name="Barcode 139" xfId="70"/>
    <cellStyle name="Bemerkung" xfId="92"/>
    <cellStyle name="Bemerkungen 1-3" xfId="69"/>
    <cellStyle name="Berechnung 2" xfId="46"/>
    <cellStyle name="Bodenart" xfId="77"/>
    <cellStyle name="Eingabe 2" xfId="47"/>
    <cellStyle name="Ergebnis 2" xfId="48"/>
    <cellStyle name="Erklärender Text 2" xfId="49"/>
    <cellStyle name="Erntereste" xfId="76"/>
    <cellStyle name="fixed" xfId="50"/>
    <cellStyle name="Gut 2" xfId="51"/>
    <cellStyle name="Humusstufe" xfId="78"/>
    <cellStyle name="Hyperlink" xfId="1" builtinId="8" hidden="1"/>
    <cellStyle name="Hyperlink" xfId="19" builtinId="8" customBuiltin="1"/>
    <cellStyle name="Hyperlink 2" xfId="52"/>
    <cellStyle name="KommPN" xfId="18"/>
    <cellStyle name="lfd Nr" xfId="17"/>
    <cellStyle name="Neutral 2" xfId="53"/>
    <cellStyle name="Normal" xfId="54"/>
    <cellStyle name="Notiz 2" xfId="55"/>
    <cellStyle name="Nutzung" xfId="75"/>
    <cellStyle name="Schlaggröße" xfId="74"/>
    <cellStyle name="Schlagname" xfId="73"/>
    <cellStyle name="Schlagnummer" xfId="71"/>
    <cellStyle name="Schlecht 2" xfId="56"/>
    <cellStyle name="sort_gelb" xfId="79"/>
    <cellStyle name="Standard" xfId="0" builtinId="0" customBuiltin="1"/>
    <cellStyle name="Standard 2" xfId="57"/>
    <cellStyle name="Standard 2 2" xfId="58"/>
    <cellStyle name="Standard 3" xfId="59"/>
    <cellStyle name="Standard 4" xfId="60"/>
    <cellStyle name="Standard 5" xfId="61"/>
    <cellStyle name="Teilschlagnummer" xfId="72"/>
    <cellStyle name="Ü_Bemerkungen" xfId="80"/>
    <cellStyle name="Ü_Bodenart_Humus" xfId="81"/>
    <cellStyle name="Ü_Erntereste" xfId="82"/>
    <cellStyle name="Ü_lfd_Nr" xfId="83"/>
    <cellStyle name="Ü_Nutzung_Erntereste" xfId="84"/>
    <cellStyle name="Ü_Schlaggröße" xfId="85"/>
    <cellStyle name="Ü_Schlagname" xfId="86"/>
    <cellStyle name="Ü_Schlagnummer" xfId="87"/>
    <cellStyle name="Ü_Standard" xfId="88"/>
    <cellStyle name="Ü_Teilschlagnummer" xfId="89"/>
    <cellStyle name="Ü_Tütenbarcode" xfId="90"/>
    <cellStyle name="Ü_zus_Analy" xfId="91"/>
    <cellStyle name="Überschrift" xfId="2" builtinId="15" customBuiltin="1"/>
    <cellStyle name="Überschrift 1" xfId="3" builtinId="16"/>
    <cellStyle name="Überschrift 1 2" xfId="62"/>
    <cellStyle name="Überschrift 2" xfId="4" builtinId="17"/>
    <cellStyle name="Überschrift 2 2" xfId="63"/>
    <cellStyle name="Überschrift 3" xfId="93" builtinId="18"/>
    <cellStyle name="Überschrift 3 2" xfId="64"/>
    <cellStyle name="Überschrift 4 2" xfId="65"/>
    <cellStyle name="Verknüpfte Zelle 2" xfId="66"/>
    <cellStyle name="Warnender Text 2" xfId="67"/>
    <cellStyle name="Zelle überprüfen 2" xfId="68"/>
  </cellStyles>
  <dxfs count="108"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rgb="FFFF6600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/>
        <strike val="0"/>
        <outline val="0"/>
        <shadow val="0"/>
        <u val="none"/>
        <vertAlign val="baseline"/>
        <sz val="20"/>
        <name val="Arial"/>
        <scheme val="none"/>
      </font>
    </dxf>
    <dxf>
      <font>
        <b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  <border outline="0">
        <left style="thin">
          <color indexed="64"/>
        </left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  <numFmt numFmtId="30" formatCode="@"/>
      <border outline="0">
        <left style="thin">
          <color indexed="64"/>
        </left>
        <right style="thin">
          <color indexed="64"/>
        </right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  <numFmt numFmtId="30" formatCode="@"/>
      <border outline="0">
        <right style="thin">
          <color indexed="64"/>
        </right>
      </border>
    </dxf>
    <dxf>
      <font>
        <b val="0"/>
        <strike val="0"/>
        <outline val="0"/>
        <shadow val="0"/>
        <u val="none"/>
        <vertAlign val="baseline"/>
        <sz val="14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Arial"/>
        <scheme val="none"/>
      </font>
    </dxf>
    <dxf>
      <font>
        <strike val="0"/>
        <outline val="0"/>
        <shadow val="0"/>
        <u val="none"/>
        <vertAlign val="baseline"/>
        <sz val="16"/>
        <name val="Arial"/>
        <scheme val="none"/>
      </font>
    </dxf>
    <dxf>
      <font>
        <strike val="0"/>
        <outline val="0"/>
        <shadow val="0"/>
        <u val="none"/>
        <vertAlign val="baseline"/>
        <sz val="16"/>
        <name val="Arial"/>
        <scheme val="none"/>
      </font>
    </dxf>
    <dxf>
      <font>
        <strike val="0"/>
        <outline val="0"/>
        <shadow val="0"/>
        <u val="none"/>
        <vertAlign val="baseline"/>
        <sz val="16"/>
        <name val="Arial"/>
        <scheme val="none"/>
      </font>
    </dxf>
    <dxf>
      <font>
        <strike val="0"/>
        <outline val="0"/>
        <shadow val="0"/>
        <u val="none"/>
        <vertAlign val="baseline"/>
        <sz val="16"/>
        <name val="Arial"/>
        <scheme val="none"/>
      </font>
    </dxf>
    <dxf>
      <font>
        <outline val="0"/>
        <shadow val="0"/>
        <u val="none"/>
        <vertAlign val="baseline"/>
        <sz val="12"/>
        <name val="Arial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2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sz val="12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indexed="64"/>
        </right>
        <top style="thin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CFFCC"/>
        <name val="Arial"/>
        <scheme val="none"/>
      </font>
      <numFmt numFmtId="30" formatCode="@"/>
      <fill>
        <patternFill patternType="solid">
          <fgColor indexed="64"/>
          <bgColor rgb="FFCCFFCC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ill>
        <patternFill patternType="gray0625">
          <bgColor rgb="FFFFC000"/>
        </patternFill>
      </fill>
    </dxf>
    <dxf>
      <fill>
        <patternFill patternType="solid"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99FFCC"/>
        </patternFill>
      </fill>
    </dxf>
    <dxf>
      <fill>
        <patternFill>
          <bgColor theme="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medium">
          <color auto="1"/>
        </vertical>
        <horizontal style="medium">
          <color auto="1"/>
        </horizontal>
      </border>
    </dxf>
  </dxfs>
  <tableStyles count="2" defaultTableStyle="Tabellenformat 2" defaultPivotStyle="PivotStyleLight16">
    <tableStyle name="Tabellenformat 1" pivot="0" count="0"/>
    <tableStyle name="Tabellenformat 2" pivot="0" count="1">
      <tableStyleElement type="wholeTable" dxfId="107"/>
    </tableStyle>
  </tableStyles>
  <colors>
    <mruColors>
      <color rgb="FF99FFCC"/>
      <color rgb="FFCCFFCC"/>
      <color rgb="FF66FFCC"/>
      <color rgb="FF97FFDF"/>
      <color rgb="FFFF6600"/>
      <color rgb="FFFFCC99"/>
      <color rgb="FFFFCC66"/>
      <color rgb="FFFAED9E"/>
      <color rgb="FFABFFD5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emf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2009775</xdr:colOff>
          <xdr:row>22</xdr:row>
          <xdr:rowOff>257175</xdr:rowOff>
        </xdr:from>
        <xdr:to>
          <xdr:col>6</xdr:col>
          <xdr:colOff>2085975</xdr:colOff>
          <xdr:row>24</xdr:row>
          <xdr:rowOff>19050</xdr:rowOff>
        </xdr:to>
        <xdr:sp macro="" textlink="">
          <xdr:nvSpPr>
            <xdr:cNvPr id="8229" name="NminTyp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246530</xdr:colOff>
      <xdr:row>0</xdr:row>
      <xdr:rowOff>123265</xdr:rowOff>
    </xdr:from>
    <xdr:to>
      <xdr:col>24</xdr:col>
      <xdr:colOff>829237</xdr:colOff>
      <xdr:row>1</xdr:row>
      <xdr:rowOff>179295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14276295" y="123265"/>
          <a:ext cx="6129618" cy="24653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chemeClr val="bg1"/>
              </a:solidFill>
            </a:rPr>
            <a:t>Anmerkung: Für LOBSTER-Profil AL_agrar_async_imp_PN_101</a:t>
          </a:r>
        </a:p>
      </xdr:txBody>
    </xdr:sp>
    <xdr:clientData/>
  </xdr:twoCellAnchor>
  <xdr:twoCellAnchor>
    <xdr:from>
      <xdr:col>17</xdr:col>
      <xdr:colOff>246530</xdr:colOff>
      <xdr:row>0</xdr:row>
      <xdr:rowOff>123265</xdr:rowOff>
    </xdr:from>
    <xdr:to>
      <xdr:col>24</xdr:col>
      <xdr:colOff>829237</xdr:colOff>
      <xdr:row>1</xdr:row>
      <xdr:rowOff>179295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 txBox="1"/>
      </xdr:nvSpPr>
      <xdr:spPr>
        <a:xfrm>
          <a:off x="12476630" y="123265"/>
          <a:ext cx="5507132" cy="24653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chemeClr val="bg1"/>
              </a:solidFill>
            </a:rPr>
            <a:t>Anmerkung: Für LOBSTER-Profil AL_agrar_async_imp_PN_101</a:t>
          </a:r>
        </a:p>
      </xdr:txBody>
    </xdr:sp>
    <xdr:clientData/>
  </xdr:twoCellAnchor>
  <xdr:twoCellAnchor>
    <xdr:from>
      <xdr:col>17</xdr:col>
      <xdr:colOff>246530</xdr:colOff>
      <xdr:row>0</xdr:row>
      <xdr:rowOff>123265</xdr:rowOff>
    </xdr:from>
    <xdr:to>
      <xdr:col>24</xdr:col>
      <xdr:colOff>829237</xdr:colOff>
      <xdr:row>1</xdr:row>
      <xdr:rowOff>179295</xdr:rowOff>
    </xdr:to>
    <xdr:sp macro="" textlink="">
      <xdr:nvSpPr>
        <xdr:cNvPr id="4" name="Textfeld 3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476630" y="123265"/>
          <a:ext cx="5507132" cy="24653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chemeClr val="bg1"/>
              </a:solidFill>
            </a:rPr>
            <a:t>Anmerkung: Für LOBSTER-Profil AL_agrar_async_imp_PN_101</a:t>
          </a:r>
        </a:p>
      </xdr:txBody>
    </xdr:sp>
    <xdr:clientData/>
  </xdr:twoCellAnchor>
  <xdr:twoCellAnchor>
    <xdr:from>
      <xdr:col>17</xdr:col>
      <xdr:colOff>246530</xdr:colOff>
      <xdr:row>0</xdr:row>
      <xdr:rowOff>123265</xdr:rowOff>
    </xdr:from>
    <xdr:to>
      <xdr:col>24</xdr:col>
      <xdr:colOff>829237</xdr:colOff>
      <xdr:row>1</xdr:row>
      <xdr:rowOff>179295</xdr:rowOff>
    </xdr:to>
    <xdr:sp macro="" textlink="">
      <xdr:nvSpPr>
        <xdr:cNvPr id="5" name="Textfeld 4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2476630" y="123265"/>
          <a:ext cx="5507132" cy="24653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chemeClr val="bg1"/>
              </a:solidFill>
            </a:rPr>
            <a:t>Anmerkung: Für LOBSTER-Profil AL_agrar_async_imp_PN_102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85725</xdr:rowOff>
        </xdr:from>
        <xdr:to>
          <xdr:col>7</xdr:col>
          <xdr:colOff>409575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CSV für Agrolab</a:t>
              </a:r>
            </a:p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PDF zum Ausdruck für Kiste</a:t>
              </a:r>
            </a:p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XLSM als Quittung oder Vorlage 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</xdr:row>
          <xdr:rowOff>95250</xdr:rowOff>
        </xdr:from>
        <xdr:to>
          <xdr:col>12</xdr:col>
          <xdr:colOff>428625</xdr:colOff>
          <xdr:row>9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XLSM wiederverwerten</a:t>
              </a:r>
            </a:p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(MANUELL rotes Excel-Blatt LÖSCHEN! *)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165</xdr:row>
      <xdr:rowOff>0</xdr:rowOff>
    </xdr:from>
    <xdr:to>
      <xdr:col>6</xdr:col>
      <xdr:colOff>619125</xdr:colOff>
      <xdr:row>179</xdr:row>
      <xdr:rowOff>0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0060900"/>
          <a:ext cx="4429125" cy="2667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0</xdr:colOff>
      <xdr:row>183</xdr:row>
      <xdr:rowOff>0</xdr:rowOff>
    </xdr:from>
    <xdr:to>
      <xdr:col>8</xdr:col>
      <xdr:colOff>426720</xdr:colOff>
      <xdr:row>191</xdr:row>
      <xdr:rowOff>97790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33489900"/>
          <a:ext cx="5760720" cy="1621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204</xdr:row>
      <xdr:rowOff>0</xdr:rowOff>
    </xdr:from>
    <xdr:to>
      <xdr:col>8</xdr:col>
      <xdr:colOff>171450</xdr:colOff>
      <xdr:row>215</xdr:row>
      <xdr:rowOff>133350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37566600"/>
          <a:ext cx="5505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2</xdr:rowOff>
    </xdr:from>
    <xdr:to>
      <xdr:col>10</xdr:col>
      <xdr:colOff>71881</xdr:colOff>
      <xdr:row>70</xdr:row>
      <xdr:rowOff>142876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8886827"/>
          <a:ext cx="6929881" cy="50958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10</xdr:col>
      <xdr:colOff>556079</xdr:colOff>
      <xdr:row>125</xdr:row>
      <xdr:rowOff>47625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2659975"/>
          <a:ext cx="7414079" cy="347662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134</xdr:row>
      <xdr:rowOff>0</xdr:rowOff>
    </xdr:from>
    <xdr:to>
      <xdr:col>8</xdr:col>
      <xdr:colOff>344129</xdr:colOff>
      <xdr:row>159</xdr:row>
      <xdr:rowOff>38100</xdr:rowOff>
    </xdr:to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1" y="29194125"/>
          <a:ext cx="5678128" cy="4800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10</xdr:col>
      <xdr:colOff>94350</xdr:colOff>
      <xdr:row>34</xdr:row>
      <xdr:rowOff>161925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0" y="4000500"/>
          <a:ext cx="6952350" cy="30194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165</xdr:row>
      <xdr:rowOff>0</xdr:rowOff>
    </xdr:from>
    <xdr:to>
      <xdr:col>6</xdr:col>
      <xdr:colOff>619125</xdr:colOff>
      <xdr:row>179</xdr:row>
      <xdr:rowOff>0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5394900"/>
          <a:ext cx="4429125" cy="2667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0</xdr:colOff>
      <xdr:row>183</xdr:row>
      <xdr:rowOff>0</xdr:rowOff>
    </xdr:from>
    <xdr:to>
      <xdr:col>8</xdr:col>
      <xdr:colOff>426720</xdr:colOff>
      <xdr:row>191</xdr:row>
      <xdr:rowOff>97790</xdr:rowOff>
    </xdr:to>
    <xdr:pic>
      <xdr:nvPicPr>
        <xdr:cNvPr id="16" name="Grafik 15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38823900"/>
          <a:ext cx="5760720" cy="1621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204</xdr:row>
      <xdr:rowOff>0</xdr:rowOff>
    </xdr:from>
    <xdr:to>
      <xdr:col>8</xdr:col>
      <xdr:colOff>171450</xdr:colOff>
      <xdr:row>215</xdr:row>
      <xdr:rowOff>133350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2900600"/>
          <a:ext cx="5505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2</xdr:rowOff>
    </xdr:from>
    <xdr:to>
      <xdr:col>10</xdr:col>
      <xdr:colOff>71881</xdr:colOff>
      <xdr:row>70</xdr:row>
      <xdr:rowOff>142876</xdr:rowOff>
    </xdr:to>
    <xdr:pic>
      <xdr:nvPicPr>
        <xdr:cNvPr id="18" name="Grafik 1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8886827"/>
          <a:ext cx="6929881" cy="50958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10</xdr:col>
      <xdr:colOff>556079</xdr:colOff>
      <xdr:row>125</xdr:row>
      <xdr:rowOff>47625</xdr:rowOff>
    </xdr:to>
    <xdr:pic>
      <xdr:nvPicPr>
        <xdr:cNvPr id="20" name="Grafik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2659975"/>
          <a:ext cx="7414079" cy="347662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134</xdr:row>
      <xdr:rowOff>0</xdr:rowOff>
    </xdr:from>
    <xdr:to>
      <xdr:col>8</xdr:col>
      <xdr:colOff>344129</xdr:colOff>
      <xdr:row>159</xdr:row>
      <xdr:rowOff>38100</xdr:rowOff>
    </xdr:to>
    <xdr:pic>
      <xdr:nvPicPr>
        <xdr:cNvPr id="21" name="Grafik 2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1" y="29194125"/>
          <a:ext cx="5678128" cy="48006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10</xdr:col>
      <xdr:colOff>94350</xdr:colOff>
      <xdr:row>34</xdr:row>
      <xdr:rowOff>161925</xdr:rowOff>
    </xdr:to>
    <xdr:pic>
      <xdr:nvPicPr>
        <xdr:cNvPr id="22" name="Grafik 2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0" y="4000500"/>
          <a:ext cx="6952350" cy="30194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761999</xdr:colOff>
      <xdr:row>79</xdr:row>
      <xdr:rowOff>0</xdr:rowOff>
    </xdr:from>
    <xdr:to>
      <xdr:col>22</xdr:col>
      <xdr:colOff>147938</xdr:colOff>
      <xdr:row>98</xdr:row>
      <xdr:rowOff>95249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1999" y="16792575"/>
          <a:ext cx="16149939" cy="37147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275524</xdr:colOff>
      <xdr:row>42</xdr:row>
      <xdr:rowOff>8548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90500"/>
          <a:ext cx="5609524" cy="78190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_proben" displayName="t_proben" ref="A7:AQ8" totalsRowShown="0" headerRowDxfId="99" dataDxfId="97" headerRowBorderDxfId="98" tableBorderDxfId="96">
  <autoFilter ref="A7:AQ8"/>
  <tableColumns count="43">
    <tableColumn id="8" name="Bemerkung 2" dataDxfId="95" dataCellStyle="Bemerkung"/>
    <tableColumn id="23" name="Bemerkung 22" dataDxfId="94" dataCellStyle="Bemerkung"/>
    <tableColumn id="21" name="Bemerkung 3" dataDxfId="93" dataCellStyle="Bemerkung"/>
    <tableColumn id="2" name="lfd.Nr. /GPS" dataDxfId="92" dataCellStyle="AL-z-fett"/>
    <tableColumn id="42" name="Spalte31" dataDxfId="91" dataCellStyle="AL-z-fett"/>
    <tableColumn id="25" name="Spalte5" dataDxfId="90" dataCellStyle="AL-z-fett"/>
    <tableColumn id="1" name="Tütenbarcode" dataDxfId="89" dataCellStyle="AL-z-fett"/>
    <tableColumn id="3" name="Schlagnr." dataDxfId="88" dataCellStyle="AL-z-fett"/>
    <tableColumn id="6" name="Teilschlagnr." dataDxfId="87"/>
    <tableColumn id="4" name="Schlagname" dataDxfId="86" dataCellStyle="AL-links"/>
    <tableColumn id="5" name="S-Erweiterung" dataDxfId="85" dataCellStyle="AL-links"/>
    <tableColumn id="7" name="Schlag-größe_x000a_[ha]" dataDxfId="84" dataCellStyle="AL-Flaeche"/>
    <tableColumn id="26" name="Spalte3" dataDxfId="83" dataCellStyle="AL-Flaeche"/>
    <tableColumn id="9" name="Spalte29" dataDxfId="82" dataCellStyle="AL-z">
      <calculatedColumnFormula>IF(ISBLANK(t_proben[[#This Row],[Tütenbarcode]]),"","A")</calculatedColumnFormula>
    </tableColumn>
    <tableColumn id="10" name="Spalte30" dataDxfId="81" dataCellStyle="AL-z"/>
    <tableColumn id="27" name="Spalte4" dataDxfId="80" dataCellStyle="AL-z"/>
    <tableColumn id="24" name="Spalte2" dataCellStyle="AL-z"/>
    <tableColumn id="28" name="Spalte22" dataDxfId="79" dataCellStyle="AL-z"/>
    <tableColumn id="33" name="Spalte222" dataDxfId="78" dataCellStyle="AL-z"/>
    <tableColumn id="32" name="Spalte23" dataDxfId="77" dataCellStyle="AL-z"/>
    <tableColumn id="22" name="Spalte1" dataDxfId="76" dataCellStyle="AL-z"/>
    <tableColumn id="11" name="Spalte6" dataDxfId="75" dataCellStyle="AL-z-fett"/>
    <tableColumn id="12" name="Spalte7" dataDxfId="74" dataCellStyle="AL-z"/>
    <tableColumn id="34" name="Spalte8" dataDxfId="73" dataCellStyle="AL-z-fett"/>
    <tableColumn id="35" name="Spalte9" dataDxfId="72" dataCellStyle="AL-z"/>
    <tableColumn id="36" name="Spalte10" dataDxfId="71" dataCellStyle="AL-z-fett"/>
    <tableColumn id="37" name="Spalte11" dataDxfId="70" dataCellStyle="AL-z"/>
    <tableColumn id="38" name="Spalte12" dataDxfId="69" dataCellStyle="AL-z"/>
    <tableColumn id="39" name="Spalte13" dataDxfId="68" dataCellStyle="AL-z"/>
    <tableColumn id="40" name="Spalte14" dataDxfId="67" dataCellStyle="AL-links"/>
    <tableColumn id="41" name="Spalte15" dataDxfId="66" dataCellStyle="AL-links"/>
    <tableColumn id="13" name="Spalte16" dataDxfId="65" dataCellStyle="AL-links"/>
    <tableColumn id="14" name="Spalte17" dataDxfId="64" dataCellStyle="AL-links"/>
    <tableColumn id="15" name="Spalte18" dataDxfId="63" dataCellStyle="AL-links"/>
    <tableColumn id="16" name="Spalte19" dataDxfId="62" dataCellStyle="AL-links"/>
    <tableColumn id="17" name="Spalte20" dataDxfId="61" dataCellStyle="AL-links"/>
    <tableColumn id="18" name="Spalte21" dataDxfId="60" dataCellStyle="AL-links"/>
    <tableColumn id="19" name="Spalte24" dataDxfId="59" dataCellStyle="AL-links"/>
    <tableColumn id="20" name="Spalte25" dataDxfId="58" dataCellStyle="AL-links"/>
    <tableColumn id="29" name="Spalte26" dataDxfId="57" dataCellStyle="AL-links"/>
    <tableColumn id="30" name="Spalte27" dataDxfId="56" dataCellStyle="AL-links"/>
    <tableColumn id="31" name="Spalte28" dataDxfId="55" dataCellStyle="AL-links"/>
    <tableColumn id="43" name="Spalte282" dataDxfId="54" dataCellStyle="AL-links"/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id="1" name="t_Nutzung" displayName="t_Nutzung" ref="A3:B9" totalsRowShown="0" headerRowDxfId="47" dataDxfId="46">
  <autoFilter ref="A3:B9"/>
  <tableColumns count="2">
    <tableColumn id="1" name="Abkürzung Nutzung" dataDxfId="45"/>
    <tableColumn id="2" name="Langtext Nutzung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_Erntereste" displayName="t_Erntereste" ref="E3:F5" totalsRowShown="0" headerRowDxfId="43" dataDxfId="42">
  <autoFilter ref="E3:F5"/>
  <tableColumns count="2">
    <tableColumn id="1" name="Abkürzung Erntereste" dataDxfId="41"/>
    <tableColumn id="2" name="Langtext Ernterest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_Fruchtarten_Nährstoffe" displayName="t_Fruchtarten_Nährstoffe" ref="H3:P77" totalsRowShown="0" headerRowDxfId="39" dataDxfId="38">
  <autoFilter ref="H3:P77"/>
  <sortState ref="H4:P77">
    <sortCondition ref="K3:K77"/>
  </sortState>
  <tableColumns count="9">
    <tableColumn id="8" name="Prio" dataDxfId="37"/>
    <tableColumn id="9" name="Sortierung" dataDxfId="36">
      <calculatedColumnFormula>LEFT(t_Fruchtarten_Nährstoffe[[#This Row],[FRUARTTEXT]],1)</calculatedColumnFormula>
    </tableColumn>
    <tableColumn id="1" name="FRUART" dataDxfId="35"/>
    <tableColumn id="2" name="FRUARTTEXT" dataDxfId="34"/>
    <tableColumn id="4" name="P2O5" dataDxfId="33"/>
    <tableColumn id="3" name="K2O" dataDxfId="32"/>
    <tableColumn id="5" name="ERTRAG" dataDxfId="31"/>
    <tableColumn id="6" name="P2O5_BRUTTO" dataDxfId="30"/>
    <tableColumn id="7" name="K2O_BRUTTO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_Labore" displayName="t_Labore" ref="A18:C21" totalsRowShown="0" headerRowDxfId="28" dataDxfId="27">
  <autoFilter ref="A18:C21"/>
  <tableColumns count="3">
    <tableColumn id="1" name="Standort" dataDxfId="26"/>
    <tableColumn id="2" name="Kürzel" dataDxfId="25"/>
    <tableColumn id="3" name="Nr" dataDxfId="24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6" name="t_Extraktion" displayName="t_Extraktion" ref="A25:B27" totalsRowShown="0" headerRowDxfId="23" dataDxfId="22">
  <autoFilter ref="A25:B27"/>
  <tableColumns count="2">
    <tableColumn id="1" name="Abkürzung" dataDxfId="21"/>
    <tableColumn id="2" name="Lang" dataDxfId="2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7" name="t_Trockengebiet" displayName="t_Trockengebiet" ref="A33:B35" totalsRowShown="0" headerRowDxfId="19" dataDxfId="18">
  <autoFilter ref="A33:B35"/>
  <tableColumns count="2">
    <tableColumn id="1" name="Trockengebiet" dataDxfId="17"/>
    <tableColumn id="2" name="Auswahl" dataDxfId="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8" name="t_Boden_Schwer" displayName="t_Boden_Schwer" ref="A39:B41" totalsRowShown="0" headerRowDxfId="15" dataDxfId="14">
  <autoFilter ref="A39:B41"/>
  <tableColumns count="2">
    <tableColumn id="1" name="Boden schwer" dataDxfId="13"/>
    <tableColumn id="2" name="Auswahl" dataDxfId="12"/>
  </tableColumns>
  <tableStyleInfo name="Tabellenformat 2" showFirstColumn="0" showLastColumn="0" showRowStripes="1" showColumnStripes="0"/>
</table>
</file>

<file path=xl/tables/table9.xml><?xml version="1.0" encoding="utf-8"?>
<table xmlns="http://schemas.openxmlformats.org/spreadsheetml/2006/main" id="9" name="t_AGB" displayName="t_AGB" ref="E12:F13" totalsRowShown="0" headerRowDxfId="11" dataDxfId="10">
  <autoFilter ref="E12:F13"/>
  <tableColumns count="2">
    <tableColumn id="1" name="AGB akzeptieren" dataDxfId="9"/>
    <tableColumn id="2" name="Status" dataDxfId="8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0" name="t_Analyse" displayName="t_Analyse" ref="E16:F17" totalsRowShown="0" headerRowDxfId="7" dataDxfId="6">
  <autoFilter ref="E16:F17"/>
  <tableColumns count="2">
    <tableColumn id="1" name="Analyseumpfang" dataDxfId="5"/>
    <tableColumn id="2" name="Auswahl" dataDxfId="4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1" name="t_Auftrag_je_Schlag" displayName="t_Auftrag_je_Schlag" ref="E20:F21" totalsRowShown="0" headerRowDxfId="3" dataDxfId="2">
  <autoFilter ref="E20:F21"/>
  <tableColumns count="2">
    <tableColumn id="1" name="Auftrag je Schlag" dataDxfId="1"/>
    <tableColumn id="2" name="Auswahl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grolab.com/de/agb.htm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FF00"/>
    <pageSetUpPr fitToPage="1"/>
  </sheetPr>
  <dimension ref="A1:I41"/>
  <sheetViews>
    <sheetView showGridLines="0" zoomScale="70" zoomScaleNormal="70" workbookViewId="0">
      <selection activeCell="C5" sqref="C5"/>
    </sheetView>
  </sheetViews>
  <sheetFormatPr baseColWidth="10" defaultColWidth="11.42578125" defaultRowHeight="15"/>
  <cols>
    <col min="1" max="1" width="11.42578125" style="115"/>
    <col min="2" max="2" width="43.7109375" style="115" customWidth="1"/>
    <col min="3" max="3" width="44.42578125" style="115" customWidth="1"/>
    <col min="4" max="5" width="11.42578125" style="115"/>
    <col min="6" max="6" width="30.140625" style="115" customWidth="1"/>
    <col min="7" max="7" width="31.42578125" style="115" customWidth="1"/>
    <col min="8" max="8" width="27.85546875" style="115" customWidth="1"/>
    <col min="9" max="9" width="12.42578125" style="115" customWidth="1"/>
    <col min="10" max="16384" width="11.42578125" style="115"/>
  </cols>
  <sheetData>
    <row r="1" spans="1:9" ht="21" thickBot="1">
      <c r="A1" s="162" t="s">
        <v>899</v>
      </c>
      <c r="B1" s="162" t="s">
        <v>899</v>
      </c>
      <c r="C1" s="162" t="s">
        <v>899</v>
      </c>
      <c r="D1" s="162" t="s">
        <v>899</v>
      </c>
      <c r="E1" s="162" t="s">
        <v>899</v>
      </c>
      <c r="F1" s="162" t="s">
        <v>899</v>
      </c>
      <c r="G1" s="162" t="s">
        <v>899</v>
      </c>
      <c r="H1" s="162" t="s">
        <v>899</v>
      </c>
      <c r="I1" s="162" t="s">
        <v>899</v>
      </c>
    </row>
    <row r="2" spans="1:9" ht="26.25" customHeight="1" thickTop="1" thickBot="1">
      <c r="A2" s="138"/>
      <c r="B2" s="294" t="s">
        <v>898</v>
      </c>
      <c r="C2" s="295"/>
      <c r="D2" s="139"/>
      <c r="E2" s="140"/>
      <c r="F2" s="140"/>
      <c r="G2" s="140"/>
      <c r="H2" s="140"/>
      <c r="I2" s="138"/>
    </row>
    <row r="3" spans="1:9" ht="21.75" thickTop="1" thickBot="1">
      <c r="A3" s="138"/>
      <c r="B3" s="296"/>
      <c r="C3" s="297"/>
      <c r="D3" s="140"/>
      <c r="E3" s="140"/>
      <c r="F3" s="136" t="s">
        <v>0</v>
      </c>
      <c r="G3" s="137"/>
      <c r="H3" s="140"/>
      <c r="I3" s="138"/>
    </row>
    <row r="4" spans="1:9" ht="22.5" thickTop="1" thickBot="1">
      <c r="A4" s="138"/>
      <c r="B4" s="147"/>
      <c r="C4" s="177" t="s">
        <v>1</v>
      </c>
      <c r="D4" s="140"/>
      <c r="E4" s="140"/>
      <c r="F4" s="117" t="s">
        <v>866</v>
      </c>
      <c r="G4" s="155"/>
      <c r="H4" s="140"/>
      <c r="I4" s="138"/>
    </row>
    <row r="5" spans="1:9" ht="22.5" thickTop="1" thickBot="1">
      <c r="A5" s="138"/>
      <c r="B5" s="118" t="s">
        <v>2</v>
      </c>
      <c r="C5" s="178"/>
      <c r="D5" s="140"/>
      <c r="E5" s="140"/>
      <c r="F5" s="117" t="s">
        <v>867</v>
      </c>
      <c r="G5" s="155"/>
      <c r="H5" s="140"/>
      <c r="I5" s="138"/>
    </row>
    <row r="6" spans="1:9" ht="21.75" thickTop="1" thickBot="1">
      <c r="A6" s="138"/>
      <c r="B6" s="139"/>
      <c r="C6" s="140"/>
      <c r="D6" s="140"/>
      <c r="E6" s="140"/>
      <c r="F6" s="140"/>
      <c r="G6" s="140"/>
      <c r="H6" s="140"/>
      <c r="I6" s="138"/>
    </row>
    <row r="7" spans="1:9" ht="21" thickTop="1">
      <c r="A7" s="138"/>
      <c r="B7" s="119" t="s">
        <v>3</v>
      </c>
      <c r="C7" s="120"/>
      <c r="D7" s="140"/>
      <c r="E7" s="140"/>
      <c r="F7" s="121" t="s">
        <v>4</v>
      </c>
      <c r="G7" s="122"/>
      <c r="H7" s="138"/>
      <c r="I7" s="138"/>
    </row>
    <row r="8" spans="1:9" ht="20.25">
      <c r="A8" s="138"/>
      <c r="B8" s="123" t="s">
        <v>5</v>
      </c>
      <c r="C8" s="134"/>
      <c r="D8" s="140"/>
      <c r="E8" s="140"/>
      <c r="F8" s="123" t="s">
        <v>6</v>
      </c>
      <c r="G8" s="160"/>
      <c r="H8" s="138"/>
      <c r="I8" s="138"/>
    </row>
    <row r="9" spans="1:9" ht="20.25">
      <c r="A9" s="138"/>
      <c r="B9" s="123" t="s">
        <v>7</v>
      </c>
      <c r="C9" s="134"/>
      <c r="D9" s="140"/>
      <c r="E9" s="140"/>
      <c r="F9" s="123" t="s">
        <v>8</v>
      </c>
      <c r="G9" s="134"/>
      <c r="H9" s="138"/>
      <c r="I9" s="138"/>
    </row>
    <row r="10" spans="1:9" ht="20.25">
      <c r="A10" s="138"/>
      <c r="B10" s="123" t="s">
        <v>9</v>
      </c>
      <c r="C10" s="179"/>
      <c r="D10" s="140"/>
      <c r="E10" s="140"/>
      <c r="F10" s="123" t="s">
        <v>9</v>
      </c>
      <c r="G10" s="160"/>
      <c r="H10" s="138"/>
      <c r="I10" s="138"/>
    </row>
    <row r="11" spans="1:9" ht="20.25">
      <c r="A11" s="138"/>
      <c r="B11" s="123" t="s">
        <v>10</v>
      </c>
      <c r="C11" s="134"/>
      <c r="D11" s="140"/>
      <c r="E11" s="140"/>
      <c r="F11" s="123" t="s">
        <v>10</v>
      </c>
      <c r="G11" s="156"/>
      <c r="H11" s="138"/>
      <c r="I11" s="138"/>
    </row>
    <row r="12" spans="1:9" ht="20.25">
      <c r="A12" s="138"/>
      <c r="B12" s="123" t="s">
        <v>11</v>
      </c>
      <c r="C12" s="179"/>
      <c r="D12" s="140"/>
      <c r="E12" s="140"/>
      <c r="F12" s="123" t="s">
        <v>11</v>
      </c>
      <c r="G12" s="160"/>
      <c r="H12" s="138"/>
      <c r="I12" s="138"/>
    </row>
    <row r="13" spans="1:9" ht="20.25">
      <c r="A13" s="138"/>
      <c r="B13" s="123" t="s">
        <v>12</v>
      </c>
      <c r="C13" s="180"/>
      <c r="D13" s="140"/>
      <c r="E13" s="140"/>
      <c r="F13" s="123" t="s">
        <v>12</v>
      </c>
      <c r="G13" s="161"/>
      <c r="H13" s="138"/>
      <c r="I13" s="138"/>
    </row>
    <row r="14" spans="1:9" ht="20.25">
      <c r="A14" s="138"/>
      <c r="B14" s="123" t="s">
        <v>13</v>
      </c>
      <c r="C14" s="179"/>
      <c r="D14" s="140"/>
      <c r="E14" s="140"/>
      <c r="F14" s="123" t="s">
        <v>13</v>
      </c>
      <c r="G14" s="160"/>
      <c r="H14" s="138"/>
      <c r="I14" s="138"/>
    </row>
    <row r="15" spans="1:9" ht="20.25">
      <c r="A15" s="138"/>
      <c r="B15" s="123" t="s">
        <v>14</v>
      </c>
      <c r="C15" s="148"/>
      <c r="D15" s="140"/>
      <c r="E15" s="140"/>
      <c r="F15" s="123" t="s">
        <v>14</v>
      </c>
      <c r="G15" s="134"/>
      <c r="H15" s="138"/>
      <c r="I15" s="138"/>
    </row>
    <row r="16" spans="1:9" ht="20.25">
      <c r="A16" s="138"/>
      <c r="B16" s="123" t="s">
        <v>15</v>
      </c>
      <c r="C16" s="149"/>
      <c r="D16" s="140"/>
      <c r="E16" s="140"/>
      <c r="F16" s="123" t="s">
        <v>15</v>
      </c>
      <c r="G16" s="149"/>
      <c r="H16" s="138"/>
      <c r="I16" s="138"/>
    </row>
    <row r="17" spans="1:9" ht="20.25">
      <c r="A17" s="138"/>
      <c r="B17" s="123" t="s">
        <v>16</v>
      </c>
      <c r="C17" s="179"/>
      <c r="D17" s="140"/>
      <c r="E17" s="140"/>
      <c r="F17" s="123" t="s">
        <v>16</v>
      </c>
      <c r="G17" s="134"/>
      <c r="H17" s="138"/>
      <c r="I17" s="138"/>
    </row>
    <row r="18" spans="1:9" ht="20.25">
      <c r="A18" s="138"/>
      <c r="B18" s="124" t="s">
        <v>17</v>
      </c>
      <c r="C18" s="179"/>
      <c r="D18" s="140"/>
      <c r="E18" s="140"/>
      <c r="F18" s="123" t="s">
        <v>17</v>
      </c>
      <c r="G18" s="134"/>
      <c r="H18" s="138"/>
      <c r="I18" s="138"/>
    </row>
    <row r="19" spans="1:9" ht="21" thickBot="1">
      <c r="A19" s="138"/>
      <c r="B19" s="125" t="s">
        <v>18</v>
      </c>
      <c r="C19" s="126"/>
      <c r="D19" s="140"/>
      <c r="E19" s="140"/>
      <c r="F19" s="125" t="s">
        <v>18</v>
      </c>
      <c r="G19" s="127"/>
      <c r="H19" s="138"/>
      <c r="I19" s="138"/>
    </row>
    <row r="20" spans="1:9" ht="21.75" thickTop="1" thickBot="1">
      <c r="A20" s="138"/>
      <c r="B20" s="139"/>
      <c r="C20" s="141"/>
      <c r="D20" s="140"/>
      <c r="E20" s="140"/>
      <c r="F20" s="140"/>
      <c r="G20" s="141"/>
      <c r="H20" s="141"/>
      <c r="I20" s="138"/>
    </row>
    <row r="21" spans="1:9" ht="21" thickTop="1">
      <c r="A21" s="138"/>
      <c r="B21" s="128" t="s">
        <v>19</v>
      </c>
      <c r="C21" s="176"/>
      <c r="D21" s="140"/>
      <c r="E21" s="140"/>
      <c r="F21" s="129" t="s">
        <v>20</v>
      </c>
      <c r="G21" s="157"/>
      <c r="H21" s="138"/>
      <c r="I21" s="138"/>
    </row>
    <row r="22" spans="1:9" ht="21" thickBot="1">
      <c r="A22" s="138"/>
      <c r="B22" s="130" t="s">
        <v>21</v>
      </c>
      <c r="C22" s="150"/>
      <c r="D22" s="140"/>
      <c r="E22" s="140"/>
      <c r="F22" s="131" t="s">
        <v>22</v>
      </c>
      <c r="G22" s="127"/>
      <c r="H22" s="138"/>
      <c r="I22" s="138"/>
    </row>
    <row r="23" spans="1:9" ht="21" thickBot="1">
      <c r="A23" s="138"/>
      <c r="B23" s="139"/>
      <c r="C23" s="141"/>
      <c r="D23" s="140"/>
      <c r="E23" s="140"/>
      <c r="F23" s="142"/>
      <c r="G23" s="143"/>
      <c r="H23" s="143"/>
      <c r="I23" s="138"/>
    </row>
    <row r="24" spans="1:9" ht="21" thickTop="1">
      <c r="A24" s="138"/>
      <c r="B24" s="119" t="s">
        <v>24</v>
      </c>
      <c r="C24" s="120"/>
      <c r="D24" s="140"/>
      <c r="E24" s="140"/>
      <c r="F24" s="166" t="s">
        <v>936</v>
      </c>
      <c r="G24" s="170" t="s">
        <v>935</v>
      </c>
      <c r="H24" s="168" t="s">
        <v>933</v>
      </c>
      <c r="I24" s="138"/>
    </row>
    <row r="25" spans="1:9" ht="20.25">
      <c r="A25" s="138"/>
      <c r="B25" s="123" t="s">
        <v>26</v>
      </c>
      <c r="C25" s="151"/>
      <c r="D25" s="140"/>
      <c r="E25" s="140"/>
      <c r="F25" s="138"/>
      <c r="G25" s="138"/>
      <c r="H25" s="138"/>
      <c r="I25" s="138"/>
    </row>
    <row r="26" spans="1:9" ht="21.75" customHeight="1">
      <c r="A26" s="138"/>
      <c r="B26" s="123" t="s">
        <v>27</v>
      </c>
      <c r="C26" s="151"/>
      <c r="D26" s="140"/>
      <c r="E26" s="140"/>
      <c r="F26" s="138"/>
      <c r="G26" s="138"/>
      <c r="H26" s="138"/>
      <c r="I26" s="138"/>
    </row>
    <row r="27" spans="1:9" ht="22.5" customHeight="1">
      <c r="A27" s="138"/>
      <c r="B27" s="132" t="s">
        <v>29</v>
      </c>
      <c r="C27" s="133"/>
      <c r="D27" s="140"/>
      <c r="E27" s="140"/>
      <c r="F27" s="138"/>
      <c r="G27" s="138"/>
      <c r="H27" s="144"/>
      <c r="I27" s="138"/>
    </row>
    <row r="28" spans="1:9" ht="20.25">
      <c r="A28" s="138"/>
      <c r="B28" s="132" t="s">
        <v>30</v>
      </c>
      <c r="C28" s="134"/>
      <c r="D28" s="140"/>
      <c r="E28" s="140"/>
      <c r="F28" s="138"/>
      <c r="G28" s="138"/>
      <c r="H28" s="138"/>
      <c r="I28" s="138"/>
    </row>
    <row r="29" spans="1:9" ht="20.25">
      <c r="A29" s="138"/>
      <c r="B29" s="123" t="s">
        <v>31</v>
      </c>
      <c r="C29" s="181"/>
      <c r="D29" s="139" t="s">
        <v>32</v>
      </c>
      <c r="E29" s="140"/>
      <c r="F29" s="138"/>
      <c r="G29" s="138"/>
      <c r="H29" s="138"/>
      <c r="I29" s="138"/>
    </row>
    <row r="30" spans="1:9" ht="20.25">
      <c r="A30" s="138"/>
      <c r="B30" s="123" t="s">
        <v>883</v>
      </c>
      <c r="C30" s="152"/>
      <c r="D30" s="139" t="s">
        <v>34</v>
      </c>
      <c r="E30" s="140"/>
      <c r="F30" s="138"/>
      <c r="G30" s="138"/>
      <c r="H30" s="138"/>
      <c r="I30" s="138"/>
    </row>
    <row r="31" spans="1:9" ht="20.25">
      <c r="A31" s="138"/>
      <c r="B31" s="123" t="s">
        <v>880</v>
      </c>
      <c r="C31" s="152"/>
      <c r="D31" s="139" t="s">
        <v>34</v>
      </c>
      <c r="E31" s="139"/>
      <c r="F31" s="138"/>
      <c r="G31" s="138"/>
      <c r="H31" s="138"/>
      <c r="I31" s="138"/>
    </row>
    <row r="32" spans="1:9" ht="20.25">
      <c r="A32" s="138"/>
      <c r="B32" s="123" t="s">
        <v>881</v>
      </c>
      <c r="C32" s="152"/>
      <c r="D32" s="139" t="s">
        <v>34</v>
      </c>
      <c r="E32" s="140"/>
      <c r="F32" s="138"/>
      <c r="G32" s="138"/>
      <c r="H32" s="138"/>
      <c r="I32" s="138"/>
    </row>
    <row r="33" spans="1:9" ht="20.25">
      <c r="A33" s="138"/>
      <c r="B33" s="123" t="s">
        <v>882</v>
      </c>
      <c r="C33" s="152"/>
      <c r="D33" s="139" t="s">
        <v>34</v>
      </c>
      <c r="E33" s="140"/>
      <c r="F33" s="138"/>
      <c r="G33" s="138"/>
      <c r="H33" s="138"/>
      <c r="I33" s="138"/>
    </row>
    <row r="34" spans="1:9" ht="20.25">
      <c r="A34" s="138"/>
      <c r="B34" s="135" t="s">
        <v>35</v>
      </c>
      <c r="C34" s="152"/>
      <c r="D34" s="139" t="s">
        <v>36</v>
      </c>
      <c r="E34" s="140"/>
      <c r="F34" s="138"/>
      <c r="G34" s="138"/>
      <c r="H34" s="138"/>
      <c r="I34" s="138"/>
    </row>
    <row r="35" spans="1:9" ht="20.25">
      <c r="A35" s="138"/>
      <c r="B35" s="135" t="s">
        <v>37</v>
      </c>
      <c r="C35" s="153"/>
      <c r="D35" s="139" t="s">
        <v>38</v>
      </c>
      <c r="E35" s="169"/>
      <c r="F35" s="174"/>
      <c r="G35" s="174"/>
      <c r="H35" s="174"/>
      <c r="I35" s="138"/>
    </row>
    <row r="36" spans="1:9" ht="21" thickBot="1">
      <c r="A36" s="138"/>
      <c r="B36" s="123" t="s">
        <v>39</v>
      </c>
      <c r="C36" s="152"/>
      <c r="D36" s="140" t="s">
        <v>40</v>
      </c>
      <c r="E36" s="140"/>
      <c r="F36" s="173"/>
      <c r="G36" s="169"/>
      <c r="H36" s="169"/>
      <c r="I36" s="138"/>
    </row>
    <row r="37" spans="1:9" ht="21.75" thickTop="1" thickBot="1">
      <c r="A37" s="138"/>
      <c r="B37" s="123" t="s">
        <v>41</v>
      </c>
      <c r="C37" s="154"/>
      <c r="D37" s="140" t="s">
        <v>42</v>
      </c>
      <c r="E37" s="140"/>
      <c r="F37" s="158" t="s">
        <v>45</v>
      </c>
      <c r="G37" s="159"/>
      <c r="H37" s="182" t="s">
        <v>46</v>
      </c>
      <c r="I37" s="138"/>
    </row>
    <row r="38" spans="1:9" ht="21.75" thickTop="1" thickBot="1">
      <c r="A38" s="138"/>
      <c r="B38" s="125" t="s">
        <v>43</v>
      </c>
      <c r="C38" s="175"/>
      <c r="D38" s="140" t="s">
        <v>44</v>
      </c>
      <c r="E38" s="140"/>
      <c r="F38" s="145" t="s">
        <v>47</v>
      </c>
      <c r="G38" s="140"/>
      <c r="H38" s="140"/>
      <c r="I38" s="138"/>
    </row>
    <row r="39" spans="1:9" ht="21" thickTop="1">
      <c r="A39" s="138"/>
      <c r="B39" s="140"/>
      <c r="C39" s="146"/>
      <c r="D39" s="140"/>
      <c r="E39" s="140"/>
      <c r="F39" s="140"/>
      <c r="G39" s="140"/>
      <c r="H39" s="140"/>
      <c r="I39" s="138"/>
    </row>
    <row r="40" spans="1:9" ht="20.25">
      <c r="A40" s="138"/>
      <c r="B40" s="140"/>
      <c r="C40" s="146"/>
      <c r="D40" s="140"/>
      <c r="E40" s="140"/>
      <c r="F40" s="140"/>
      <c r="G40" s="140"/>
      <c r="H40" s="140"/>
      <c r="I40" s="138"/>
    </row>
    <row r="41" spans="1:9" ht="20.25">
      <c r="D41" s="116"/>
    </row>
  </sheetData>
  <dataConsolidate/>
  <mergeCells count="1">
    <mergeCell ref="B2:C3"/>
  </mergeCells>
  <dataValidations xWindow="1571" yWindow="254" count="18">
    <dataValidation type="whole" operator="greaterThan" allowBlank="1" showInputMessage="1" showErrorMessage="1" errorTitle="Falscheingabe" error="Hier bitte NUR Ihre Werbernummer eintragen!" sqref="C26">
      <formula1>0</formula1>
    </dataValidation>
    <dataValidation type="whole" operator="notEqual" allowBlank="1" showInputMessage="1" showErrorMessage="1" errorTitle="Falscheingabe" error="Es dürfen nur Ganze Zahlen eigegeben werden!" sqref="C25">
      <formula1>9999999999</formula1>
    </dataValidation>
    <dataValidation type="date" allowBlank="1" showInputMessage="1" showErrorMessage="1" errorTitle="Falscheingabe" error="Es darf nur ein Datum eigegeben werden!_x000a_Format: TT.MM.JJJJ" promptTitle="Datum" prompt="Bitte das Datum im Format: TT.MM.JJJJ eingeben." sqref="C29">
      <formula1>44927</formula1>
      <formula2>47848</formula2>
    </dataValidation>
    <dataValidation type="decimal" operator="greaterThan" allowBlank="1" showInputMessage="1" showErrorMessage="1" errorTitle="Falscheingabe" error="Es dürfen nur Dezimalzahlen ohne Einheit eingegeben werden!" promptTitle="ha bei PN-Preis/ha" prompt="Tragen Sie die gesamt beprobte Fläche ohne Angabe einer Einheit ein." sqref="C35">
      <formula1>0</formula1>
    </dataValidation>
    <dataValidation type="decimal" operator="greaterThan" allowBlank="1" showInputMessage="1" showErrorMessage="1" errorTitle="Falscheingabe" error="Es dürfen nur Dezimalzahlen ohne Einheiten eigegeben werden!" sqref="C39:C40">
      <formula1>0</formula1>
    </dataValidation>
    <dataValidation type="decimal" operator="greaterThanOrEqual" allowBlank="1" showInputMessage="1" showErrorMessage="1" errorTitle="Falscheingabe" error="Es dürfen nur Dezimalzahlen ohne Einheit eingegeben werden!" promptTitle="Probenahmepreis" prompt="Bitte geben Sie den Probenahmepreis in €/Probe ohne MwSt an._x000a_Tragen Sie nur den Betrag ein ohne Angabe einer Einheit._x000a_" sqref="C30:C33">
      <formula1>0</formula1>
    </dataValidation>
    <dataValidation allowBlank="1" showInputMessage="1" showErrorMessage="1" promptTitle="Kundennummer Aufraggeber" prompt="Falls Sie für den Auftraggeber eine Kundennummer vergeben haben tragen Sie diese bitte ein. Diese wird dann auf der Rechnung mit ausgegeben." sqref="C8:C9"/>
    <dataValidation allowBlank="1" showInputMessage="1" showErrorMessage="1" promptTitle="PLZ" prompt="Deutsche Postleitzahlen bitte ohne &quot;D&quot; oder ähnliche Vorzeichen eingeben." sqref="C13"/>
    <dataValidation type="decimal" operator="greaterThan" allowBlank="1" showInputMessage="1" showErrorMessage="1" errorTitle="Falscheingabe" error="Es dürfen nur Dezimalzahlen ohne Einheit eingegeben werden!" promptTitle="Probenahmepreis in €/ha" prompt="Bitte geben Sie hier den Probenahmepreis in €/ha falls Sie diese Abrechnung vereinbart haben.Bitte tragen Sie nur den Betrag ein ohne Angabe einer Einheit." sqref="C34">
      <formula1>0</formula1>
    </dataValidation>
    <dataValidation type="decimal" operator="greaterThan" allowBlank="1" showInputMessage="1" showErrorMessage="1" errorTitle="Falscheingabe" error="Es dürfen nur Dezimalzahlen ohne Einheiten eigegeben werden!" promptTitle="Fahrtkosten Pauschal" prompt="Hier tragen Sie ein wenn Sie einen festen Betrag für den gesamten Auftrag vereinbart haben. Ohne Angabe einer Einheit_x000a_" sqref="C36">
      <formula1>0</formula1>
    </dataValidation>
    <dataValidation type="decimal" operator="greaterThan" allowBlank="1" showInputMessage="1" showErrorMessage="1" errorTitle="Falscheingabe" error="Es dürfen nur Dezimalzahlen ohne Einheiten eigegeben werden!" promptTitle="Fahrtkosten / km" prompt="Bitte tragen Sie hier die vereinbarten Fahrkosten je km ohne Einheit ein." sqref="C37">
      <formula1>0</formula1>
    </dataValidation>
    <dataValidation type="decimal" operator="greaterThan" allowBlank="1" showInputMessage="1" showErrorMessage="1" errorTitle="Falscheingabe" error="Es dürfen nur Dezimalzahlen ohne Einheiten eigegeben werden!" promptTitle="gefahrene km" prompt="Tragen Sie hier die für diesen Auftrtag zurückgelegten Kilometer on Angabe der Einheit ein." sqref="C38">
      <formula1>0</formula1>
    </dataValidation>
    <dataValidation type="decimal" operator="greaterThan" allowBlank="1" showInputMessage="1" showErrorMessage="1" promptTitle="Kd.Nr Agrolab" prompt="Tagen Sie die Kundennummer des Rechnungsnehmers bei Agrolab ein." sqref="G8">
      <formula1>0</formula1>
    </dataValidation>
    <dataValidation type="decimal" operator="greaterThanOrEqual" allowBlank="1" showInputMessage="1" showErrorMessage="1" promptTitle="Kd.Nr Auftraggeber" prompt="Falls Sie Ihrem Auftraggeber eine Kundennummer zugeordnet haben können Sie diese heier eintragen." sqref="G9">
      <formula1>0</formula1>
    </dataValidation>
    <dataValidation allowBlank="1" showInputMessage="1" showErrorMessage="1" promptTitle="Auftragsname" prompt="HIer könenn Sie Ihren oder den Auftragsnamen des Auftraggebers eintragen. Dieser wird auf Befund und Rechnung mit ausgegeben. " sqref="G21"/>
    <dataValidation type="whole" operator="greaterThan" allowBlank="1" showInputMessage="1" showErrorMessage="1" promptTitle="Projektnummer Agrolab" prompt="Falls im Untersuchenden Labor eine Projektmummer angelegt wurde muss diese hier eingetragen werden. " sqref="G22">
      <formula1>0</formula1>
    </dataValidation>
    <dataValidation allowBlank="1" showInputMessage="1" showErrorMessage="1" promptTitle="Tracking ID Paketdienst" prompt="Zur eigenen Information." sqref="G3"/>
    <dataValidation type="list" allowBlank="1" showInputMessage="1" showErrorMessage="1" errorTitle="FEHLENDE EINGABE" error="Bitte geben Sie den Typ der Nmin Untersuchung ein (s. Auswahlliste)" promptTitle="Pflichtfeld aus Drop-Down" prompt="Typ der Nmin-bestellung" sqref="G24">
      <formula1>Typ_Nmin</formula1>
    </dataValidation>
  </dataValidations>
  <hyperlinks>
    <hyperlink ref="F37" r:id="rId1"/>
  </hyperlinks>
  <pageMargins left="0.23622047244094491" right="0.23622047244094491" top="0.74803149606299213" bottom="0.74803149606299213" header="0.31496062992125984" footer="0.31496062992125984"/>
  <pageSetup paperSize="9" scale="62" orientation="landscape" useFirstPageNumber="1" r:id="rId2"/>
  <headerFooter>
    <oddHeader>&amp;L&amp;F - &amp;D</oddHeader>
  </headerFooter>
  <drawing r:id="rId3"/>
  <legacyDrawing r:id="rId4"/>
  <controls>
    <mc:AlternateContent xmlns:mc="http://schemas.openxmlformats.org/markup-compatibility/2006">
      <mc:Choice Requires="x14">
        <control shapeId="8229" r:id="rId5" name="NminTyp">
          <controlPr defaultSize="0" autoLine="0" linkedCell="G24" listFillRange="Typ_Nmin" r:id="rId6">
            <anchor moveWithCells="1" sizeWithCells="1">
              <from>
                <xdr:col>5</xdr:col>
                <xdr:colOff>2009775</xdr:colOff>
                <xdr:row>22</xdr:row>
                <xdr:rowOff>257175</xdr:rowOff>
              </from>
              <to>
                <xdr:col>6</xdr:col>
                <xdr:colOff>2085975</xdr:colOff>
                <xdr:row>24</xdr:row>
                <xdr:rowOff>19050</xdr:rowOff>
              </to>
            </anchor>
          </controlPr>
        </control>
      </mc:Choice>
      <mc:Fallback>
        <control shapeId="8229" r:id="rId5" name="NminTyp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571" yWindow="254" count="2">
        <x14:dataValidation type="list" showInputMessage="1" showErrorMessage="1" errorTitle="Falscheingabe" error="mögliche Eingaben sin:_x000a__x000a_Sarstedt_x000a_Leinefelde" promptTitle="Laborauswahl" prompt="Bitte wählen Sie den Laborstandort aus.">
          <x14:formula1>
            <xm:f>Hilfstabellen!$A$19:$A$20</xm:f>
          </x14:formula1>
          <xm:sqref>C5</xm:sqref>
        </x14:dataValidation>
        <x14:dataValidation type="list" allowBlank="1" showInputMessage="1" showErrorMessage="1" promptTitle="AGB akzeptieren" prompt="https://www.agrolab.com/de/agb.html">
          <x14:formula1>
            <xm:f>Hilfstabellen!$F$13</xm:f>
          </x14:formula1>
          <xm:sqref>H37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rgb="FFFFFF00"/>
    <pageSetUpPr fitToPage="1"/>
  </sheetPr>
  <dimension ref="A1:BR432"/>
  <sheetViews>
    <sheetView zoomScale="70" zoomScaleNormal="70" workbookViewId="0">
      <selection activeCell="D9" sqref="D9"/>
    </sheetView>
  </sheetViews>
  <sheetFormatPr baseColWidth="10" defaultColWidth="11.42578125" defaultRowHeight="26.25"/>
  <cols>
    <col min="1" max="3" width="25.7109375" style="194" customWidth="1"/>
    <col min="4" max="4" width="10.7109375" style="255" customWidth="1"/>
    <col min="5" max="5" width="12" style="255" customWidth="1"/>
    <col min="6" max="6" width="12.140625" style="256" customWidth="1"/>
    <col min="7" max="7" width="26.5703125" style="255" customWidth="1"/>
    <col min="8" max="8" width="10.7109375" style="257" customWidth="1"/>
    <col min="9" max="9" width="20.7109375" style="218" hidden="1" customWidth="1"/>
    <col min="10" max="11" width="23.28515625" style="218" customWidth="1"/>
    <col min="12" max="12" width="11.42578125" style="218" customWidth="1"/>
    <col min="13" max="13" width="11.85546875" style="218" customWidth="1"/>
    <col min="14" max="15" width="10.7109375" style="218" customWidth="1"/>
    <col min="16" max="18" width="6.28515625" style="218" customWidth="1"/>
    <col min="19" max="19" width="6.5703125" style="220" customWidth="1"/>
    <col min="20" max="20" width="6.7109375" style="220" customWidth="1"/>
    <col min="21" max="21" width="9" style="220" customWidth="1"/>
    <col min="22" max="22" width="9" style="217" customWidth="1"/>
    <col min="23" max="23" width="9" style="226" customWidth="1"/>
    <col min="24" max="24" width="9" style="217" customWidth="1"/>
    <col min="25" max="25" width="9" style="226" customWidth="1"/>
    <col min="26" max="26" width="9" style="217" customWidth="1"/>
    <col min="27" max="29" width="9" style="226" customWidth="1"/>
    <col min="30" max="30" width="9" style="270" customWidth="1"/>
    <col min="31" max="37" width="5.7109375" style="270" hidden="1" customWidth="1"/>
    <col min="38" max="41" width="0" style="270" hidden="1" customWidth="1"/>
    <col min="42" max="42" width="12.5703125" style="270" bestFit="1" customWidth="1"/>
    <col min="43" max="43" width="11.42578125" style="202"/>
    <col min="44" max="16384" width="11.42578125" style="194"/>
  </cols>
  <sheetData>
    <row r="1" spans="1:70" s="191" customFormat="1">
      <c r="A1" s="189"/>
      <c r="B1" s="189"/>
      <c r="C1" s="186"/>
      <c r="D1" s="237"/>
      <c r="E1" s="238"/>
      <c r="F1" s="239"/>
      <c r="G1" s="240" t="s">
        <v>1</v>
      </c>
      <c r="H1" s="240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21"/>
      <c r="U1" s="221"/>
      <c r="V1" s="206"/>
      <c r="W1" s="223"/>
      <c r="X1" s="206"/>
      <c r="Y1" s="223"/>
      <c r="Z1" s="206"/>
      <c r="AA1" s="223"/>
      <c r="AB1" s="223"/>
      <c r="AC1" s="223"/>
      <c r="AD1" s="263"/>
      <c r="AE1" s="263"/>
      <c r="AF1" s="263"/>
      <c r="AG1" s="263"/>
      <c r="AH1" s="263"/>
      <c r="AI1" s="263"/>
      <c r="AJ1" s="263"/>
      <c r="AK1" s="263"/>
      <c r="AL1" s="263"/>
      <c r="AM1" s="263"/>
      <c r="AN1" s="263"/>
      <c r="AO1" s="263"/>
      <c r="AP1" s="263"/>
      <c r="AQ1" s="203"/>
    </row>
    <row r="2" spans="1:70" s="191" customFormat="1" ht="36">
      <c r="A2" s="192" t="s">
        <v>899</v>
      </c>
      <c r="B2" s="192" t="s">
        <v>899</v>
      </c>
      <c r="C2" s="192" t="s">
        <v>899</v>
      </c>
      <c r="D2" s="192" t="s">
        <v>899</v>
      </c>
      <c r="E2" s="192" t="s">
        <v>899</v>
      </c>
      <c r="F2" s="192" t="s">
        <v>899</v>
      </c>
      <c r="G2" s="192" t="s">
        <v>899</v>
      </c>
      <c r="H2" s="192" t="s">
        <v>899</v>
      </c>
      <c r="I2" s="192" t="s">
        <v>899</v>
      </c>
      <c r="J2" s="192" t="s">
        <v>899</v>
      </c>
      <c r="K2" s="192" t="s">
        <v>899</v>
      </c>
      <c r="L2" s="192" t="s">
        <v>899</v>
      </c>
      <c r="M2" s="192" t="s">
        <v>899</v>
      </c>
      <c r="N2" s="192" t="s">
        <v>899</v>
      </c>
      <c r="O2" s="192" t="s">
        <v>899</v>
      </c>
      <c r="P2" s="192" t="s">
        <v>899</v>
      </c>
      <c r="Q2" s="192" t="s">
        <v>899</v>
      </c>
      <c r="R2" s="192" t="s">
        <v>899</v>
      </c>
      <c r="S2" s="192" t="s">
        <v>899</v>
      </c>
      <c r="T2" s="192" t="s">
        <v>899</v>
      </c>
      <c r="U2" s="192" t="s">
        <v>899</v>
      </c>
      <c r="V2" s="192" t="s">
        <v>899</v>
      </c>
      <c r="W2" s="280" t="s">
        <v>899</v>
      </c>
      <c r="X2" s="192" t="s">
        <v>899</v>
      </c>
      <c r="Y2" s="280" t="s">
        <v>899</v>
      </c>
      <c r="Z2" s="192" t="s">
        <v>899</v>
      </c>
      <c r="AA2" s="280" t="s">
        <v>899</v>
      </c>
      <c r="AB2" s="280" t="s">
        <v>899</v>
      </c>
      <c r="AC2" s="280" t="s">
        <v>899</v>
      </c>
      <c r="AD2" s="280" t="s">
        <v>899</v>
      </c>
      <c r="AE2" s="264" t="s">
        <v>899</v>
      </c>
      <c r="AF2" s="264" t="s">
        <v>899</v>
      </c>
      <c r="AG2" s="264" t="s">
        <v>899</v>
      </c>
      <c r="AH2" s="264" t="s">
        <v>899</v>
      </c>
      <c r="AI2" s="264" t="s">
        <v>899</v>
      </c>
      <c r="AJ2" s="264" t="s">
        <v>899</v>
      </c>
      <c r="AK2" s="264" t="s">
        <v>899</v>
      </c>
      <c r="AL2" s="264" t="s">
        <v>899</v>
      </c>
      <c r="AM2" s="264" t="s">
        <v>899</v>
      </c>
      <c r="AN2" s="264" t="s">
        <v>899</v>
      </c>
      <c r="AO2" s="263"/>
      <c r="AP2" s="263"/>
      <c r="AQ2" s="203"/>
    </row>
    <row r="3" spans="1:70" s="191" customFormat="1" ht="24" customHeight="1">
      <c r="A3" s="189"/>
      <c r="B3" s="189"/>
      <c r="C3" s="193"/>
      <c r="D3" s="238"/>
      <c r="E3" s="238"/>
      <c r="F3" s="241"/>
      <c r="G3" s="242" t="str">
        <f>Auftragsdaten!C8&amp;", "&amp;Auftragsdaten!C10&amp;", "&amp;Auftragsdaten!C13&amp;", "&amp;Auftragsdaten!C14&amp;", "&amp;Auftragsdaten!B27&amp;": "&amp;Auftragsdaten!C27&amp;", "&amp;Auftragsdaten!F22&amp;": "&amp;Auftragsdaten!G22</f>
        <v xml:space="preserve">, , , , PN Auftragsnr.: , Projektnr. Agrolab: </v>
      </c>
      <c r="H3" s="242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21"/>
      <c r="U3" s="221"/>
      <c r="V3" s="206"/>
      <c r="W3" s="223"/>
      <c r="X3" s="206"/>
      <c r="Y3" s="223"/>
      <c r="Z3" s="206"/>
      <c r="AA3" s="223"/>
      <c r="AB3" s="223"/>
      <c r="AC3" s="22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03"/>
    </row>
    <row r="4" spans="1:70">
      <c r="A4" s="190"/>
      <c r="B4" s="190"/>
      <c r="C4" s="190"/>
      <c r="D4" s="238"/>
      <c r="E4" s="238"/>
      <c r="F4" s="241"/>
      <c r="G4" s="243"/>
      <c r="H4" s="243"/>
      <c r="I4" s="207"/>
      <c r="J4" s="207"/>
      <c r="K4" s="207"/>
      <c r="L4" s="208"/>
      <c r="M4" s="207"/>
      <c r="N4" s="207"/>
      <c r="O4" s="207"/>
      <c r="P4" s="207"/>
      <c r="Q4" s="219"/>
      <c r="R4" s="219"/>
      <c r="S4" s="219"/>
      <c r="T4" s="219"/>
      <c r="U4" s="219"/>
      <c r="V4" s="209"/>
      <c r="W4" s="224"/>
      <c r="X4" s="209"/>
      <c r="Y4" s="224"/>
      <c r="Z4" s="209"/>
      <c r="AA4" s="224"/>
      <c r="AB4" s="224"/>
      <c r="AC4" s="224"/>
      <c r="AD4" s="265"/>
      <c r="AE4" s="265"/>
      <c r="AF4" s="265"/>
      <c r="AG4" s="265"/>
      <c r="AH4" s="265"/>
      <c r="AI4" s="265"/>
      <c r="AJ4" s="265"/>
      <c r="AK4" s="265"/>
      <c r="AL4" s="265"/>
      <c r="AM4" s="265"/>
      <c r="AN4" s="265"/>
      <c r="AO4" s="265"/>
      <c r="AP4" s="265"/>
      <c r="AQ4" s="201"/>
      <c r="BR4" s="195"/>
    </row>
    <row r="5" spans="1:70" s="235" customFormat="1" ht="21" thickBot="1">
      <c r="A5" s="229"/>
      <c r="B5" s="229"/>
      <c r="C5" s="229"/>
      <c r="D5" s="244" t="s">
        <v>48</v>
      </c>
      <c r="E5" s="244"/>
      <c r="F5" s="245"/>
      <c r="G5" s="246"/>
      <c r="H5" s="244"/>
      <c r="I5" s="227"/>
      <c r="J5" s="227"/>
      <c r="K5" s="227"/>
      <c r="L5" s="227"/>
      <c r="M5" s="227"/>
      <c r="N5" s="227"/>
      <c r="O5" s="227"/>
      <c r="P5" s="227"/>
      <c r="Q5" s="228" t="s">
        <v>49</v>
      </c>
      <c r="R5" s="228"/>
      <c r="S5" s="228"/>
      <c r="T5" s="228"/>
      <c r="U5" s="228"/>
      <c r="V5" s="227" t="s">
        <v>50</v>
      </c>
      <c r="W5" s="227"/>
      <c r="X5" s="227"/>
      <c r="Y5" s="227"/>
      <c r="Z5" s="227"/>
      <c r="AA5" s="227"/>
      <c r="AB5" s="227"/>
      <c r="AC5" s="227"/>
      <c r="AD5" s="230"/>
      <c r="AE5" s="230"/>
      <c r="AF5" s="230"/>
      <c r="AG5" s="230"/>
      <c r="AH5" s="230"/>
      <c r="AI5" s="230"/>
      <c r="AJ5" s="230"/>
      <c r="AK5" s="230"/>
      <c r="AL5" s="231"/>
      <c r="AM5" s="231"/>
      <c r="AN5" s="231"/>
      <c r="AO5" s="232"/>
      <c r="AP5" s="233"/>
      <c r="AQ5" s="234"/>
    </row>
    <row r="6" spans="1:70" s="191" customFormat="1" ht="123.75" customHeight="1" thickTop="1">
      <c r="A6" s="196" t="s">
        <v>51</v>
      </c>
      <c r="B6" s="197" t="s">
        <v>52</v>
      </c>
      <c r="C6" s="198" t="s">
        <v>53</v>
      </c>
      <c r="D6" s="291" t="s">
        <v>968</v>
      </c>
      <c r="E6" s="247" t="s">
        <v>948</v>
      </c>
      <c r="F6" s="248" t="s">
        <v>949</v>
      </c>
      <c r="G6" s="249" t="s">
        <v>55</v>
      </c>
      <c r="H6" s="250" t="s">
        <v>56</v>
      </c>
      <c r="I6" s="1" t="s">
        <v>57</v>
      </c>
      <c r="J6" s="1" t="s">
        <v>969</v>
      </c>
      <c r="K6" s="1" t="s">
        <v>970</v>
      </c>
      <c r="L6" s="236" t="s">
        <v>60</v>
      </c>
      <c r="M6" s="236" t="s">
        <v>61</v>
      </c>
      <c r="N6" s="222" t="s">
        <v>62</v>
      </c>
      <c r="O6" s="222" t="s">
        <v>63</v>
      </c>
      <c r="P6" s="272" t="s">
        <v>64</v>
      </c>
      <c r="Q6" s="272" t="s">
        <v>65</v>
      </c>
      <c r="R6" s="272" t="s">
        <v>66</v>
      </c>
      <c r="S6" s="272" t="s">
        <v>917</v>
      </c>
      <c r="T6" s="272" t="s">
        <v>918</v>
      </c>
      <c r="U6" s="272" t="s">
        <v>886</v>
      </c>
      <c r="V6" s="273" t="s">
        <v>363</v>
      </c>
      <c r="W6" s="274" t="s">
        <v>364</v>
      </c>
      <c r="X6" s="273" t="s">
        <v>365</v>
      </c>
      <c r="Y6" s="274" t="s">
        <v>366</v>
      </c>
      <c r="Z6" s="273" t="s">
        <v>367</v>
      </c>
      <c r="AA6" s="274" t="s">
        <v>368</v>
      </c>
      <c r="AB6" s="275" t="s">
        <v>369</v>
      </c>
      <c r="AC6" s="275" t="s">
        <v>370</v>
      </c>
      <c r="AD6" s="276" t="s">
        <v>371</v>
      </c>
      <c r="AE6" s="276" t="s">
        <v>372</v>
      </c>
      <c r="AF6" s="277" t="s">
        <v>67</v>
      </c>
      <c r="AG6" s="277" t="s">
        <v>68</v>
      </c>
      <c r="AH6" s="277" t="s">
        <v>69</v>
      </c>
      <c r="AI6" s="277" t="s">
        <v>70</v>
      </c>
      <c r="AJ6" s="277" t="s">
        <v>71</v>
      </c>
      <c r="AK6" s="277" t="s">
        <v>72</v>
      </c>
      <c r="AL6" s="277" t="s">
        <v>73</v>
      </c>
      <c r="AM6" s="277" t="s">
        <v>74</v>
      </c>
      <c r="AN6" s="277" t="s">
        <v>75</v>
      </c>
      <c r="AO6" s="278" t="s">
        <v>76</v>
      </c>
      <c r="AP6" s="279" t="s">
        <v>889</v>
      </c>
      <c r="AQ6" s="203"/>
    </row>
    <row r="7" spans="1:70" s="191" customFormat="1" ht="15.75" customHeight="1">
      <c r="A7" s="187" t="s">
        <v>78</v>
      </c>
      <c r="B7" s="187" t="s">
        <v>79</v>
      </c>
      <c r="C7" s="188" t="s">
        <v>80</v>
      </c>
      <c r="D7" s="251" t="s">
        <v>54</v>
      </c>
      <c r="E7" s="251" t="s">
        <v>947</v>
      </c>
      <c r="F7" s="252" t="s">
        <v>884</v>
      </c>
      <c r="G7" s="253" t="s">
        <v>55</v>
      </c>
      <c r="H7" s="253" t="s">
        <v>56</v>
      </c>
      <c r="I7" s="210" t="s">
        <v>57</v>
      </c>
      <c r="J7" s="210" t="s">
        <v>58</v>
      </c>
      <c r="K7" s="210" t="s">
        <v>81</v>
      </c>
      <c r="L7" s="210" t="s">
        <v>60</v>
      </c>
      <c r="M7" s="210" t="s">
        <v>82</v>
      </c>
      <c r="N7" s="211" t="s">
        <v>915</v>
      </c>
      <c r="O7" s="211" t="s">
        <v>916</v>
      </c>
      <c r="P7" s="211" t="s">
        <v>83</v>
      </c>
      <c r="Q7" s="211" t="s">
        <v>84</v>
      </c>
      <c r="R7" s="211" t="s">
        <v>885</v>
      </c>
      <c r="S7" s="211" t="s">
        <v>901</v>
      </c>
      <c r="T7" s="211" t="s">
        <v>900</v>
      </c>
      <c r="U7" s="212" t="s">
        <v>85</v>
      </c>
      <c r="V7" s="213" t="s">
        <v>902</v>
      </c>
      <c r="W7" s="225" t="s">
        <v>903</v>
      </c>
      <c r="X7" s="214" t="s">
        <v>890</v>
      </c>
      <c r="Y7" s="225" t="s">
        <v>891</v>
      </c>
      <c r="Z7" s="214" t="s">
        <v>892</v>
      </c>
      <c r="AA7" s="225" t="s">
        <v>893</v>
      </c>
      <c r="AB7" s="225" t="s">
        <v>894</v>
      </c>
      <c r="AC7" s="225" t="s">
        <v>895</v>
      </c>
      <c r="AD7" s="266" t="s">
        <v>896</v>
      </c>
      <c r="AE7" s="266" t="s">
        <v>897</v>
      </c>
      <c r="AF7" s="266" t="s">
        <v>904</v>
      </c>
      <c r="AG7" s="266" t="s">
        <v>905</v>
      </c>
      <c r="AH7" s="266" t="s">
        <v>906</v>
      </c>
      <c r="AI7" s="266" t="s">
        <v>907</v>
      </c>
      <c r="AJ7" s="266" t="s">
        <v>908</v>
      </c>
      <c r="AK7" s="266" t="s">
        <v>909</v>
      </c>
      <c r="AL7" s="266" t="s">
        <v>910</v>
      </c>
      <c r="AM7" s="267" t="s">
        <v>911</v>
      </c>
      <c r="AN7" s="268" t="s">
        <v>912</v>
      </c>
      <c r="AO7" s="268" t="s">
        <v>913</v>
      </c>
      <c r="AP7" s="268" t="s">
        <v>914</v>
      </c>
      <c r="AQ7" s="269" t="s">
        <v>955</v>
      </c>
    </row>
    <row r="8" spans="1:70" s="200" customFormat="1" ht="80.099999999999994" hidden="1" customHeight="1">
      <c r="A8" s="199" t="s">
        <v>957</v>
      </c>
      <c r="B8" s="199" t="s">
        <v>958</v>
      </c>
      <c r="C8" s="199" t="s">
        <v>959</v>
      </c>
      <c r="D8" s="292">
        <f t="shared" ref="D8" si="0">ROW(8:8)-8</f>
        <v>0</v>
      </c>
      <c r="E8" s="254">
        <v>1</v>
      </c>
      <c r="F8" s="254" t="s">
        <v>960</v>
      </c>
      <c r="G8" s="254" t="s">
        <v>956</v>
      </c>
      <c r="H8" s="254">
        <v>555</v>
      </c>
      <c r="I8" s="215"/>
      <c r="J8" s="293" t="s">
        <v>971</v>
      </c>
      <c r="K8" s="293" t="s">
        <v>972</v>
      </c>
      <c r="L8" s="260">
        <v>5.5</v>
      </c>
      <c r="M8" s="260">
        <v>3</v>
      </c>
      <c r="N8" s="262" t="str">
        <f>IF(ISBLANK(t_proben[[#This Row],[Tütenbarcode]]),"","A")</f>
        <v>A</v>
      </c>
      <c r="O8" s="262" t="s">
        <v>669</v>
      </c>
      <c r="P8" s="261">
        <v>123</v>
      </c>
      <c r="Q8" s="261">
        <v>12</v>
      </c>
      <c r="R8" s="262">
        <v>0</v>
      </c>
      <c r="S8" s="262" t="s">
        <v>162</v>
      </c>
      <c r="T8" s="262" t="s">
        <v>310</v>
      </c>
      <c r="U8" s="262">
        <v>2</v>
      </c>
      <c r="V8" s="271" t="s">
        <v>929</v>
      </c>
      <c r="W8" s="281" t="s">
        <v>929</v>
      </c>
      <c r="X8" s="271"/>
      <c r="Y8" s="281"/>
      <c r="Z8" s="271"/>
      <c r="AA8" s="281"/>
      <c r="AB8" s="281"/>
      <c r="AC8" s="281"/>
      <c r="AD8" s="258"/>
      <c r="AE8" s="258"/>
      <c r="AF8" s="258"/>
      <c r="AG8" s="258"/>
      <c r="AH8" s="258"/>
      <c r="AI8" s="258"/>
      <c r="AJ8" s="258"/>
      <c r="AK8" s="258"/>
      <c r="AL8" s="258"/>
      <c r="AM8" s="258"/>
      <c r="AN8" s="258"/>
      <c r="AO8" s="258"/>
      <c r="AP8" s="258"/>
      <c r="AQ8" s="259"/>
    </row>
    <row r="9" spans="1:70" ht="20.25">
      <c r="D9" s="194"/>
      <c r="E9" s="194"/>
      <c r="F9" s="194"/>
      <c r="G9" s="194"/>
      <c r="H9" s="255"/>
      <c r="I9" s="204"/>
      <c r="J9" s="204"/>
      <c r="K9" s="204"/>
      <c r="L9" s="204"/>
      <c r="M9" s="216"/>
      <c r="N9" s="220"/>
      <c r="O9" s="220"/>
      <c r="P9" s="220"/>
      <c r="Q9" s="220"/>
      <c r="R9" s="220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</row>
    <row r="10" spans="1:70" ht="20.25">
      <c r="D10" s="194"/>
      <c r="E10" s="194"/>
      <c r="F10" s="194"/>
      <c r="G10" s="194"/>
      <c r="H10" s="255"/>
      <c r="I10" s="204"/>
      <c r="J10" s="204"/>
      <c r="K10" s="204"/>
      <c r="L10" s="204"/>
      <c r="M10" s="216"/>
      <c r="N10" s="220"/>
      <c r="O10" s="220"/>
      <c r="P10" s="220"/>
      <c r="Q10" s="220"/>
      <c r="R10" s="220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</row>
    <row r="11" spans="1:70" ht="20.25">
      <c r="D11" s="194"/>
      <c r="E11" s="194"/>
      <c r="F11" s="194"/>
      <c r="G11" s="194"/>
      <c r="H11" s="255"/>
      <c r="I11" s="204"/>
      <c r="J11" s="204"/>
      <c r="K11" s="204"/>
      <c r="L11" s="204"/>
      <c r="M11" s="216"/>
      <c r="N11" s="220"/>
      <c r="O11" s="220"/>
      <c r="P11" s="220"/>
      <c r="Q11" s="220"/>
      <c r="R11" s="220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</row>
    <row r="12" spans="1:70" ht="20.25">
      <c r="D12" s="194"/>
      <c r="E12" s="194"/>
      <c r="F12" s="194"/>
      <c r="G12" s="194"/>
      <c r="H12" s="255"/>
      <c r="I12" s="204"/>
      <c r="J12" s="204"/>
      <c r="K12" s="204"/>
      <c r="L12" s="204"/>
      <c r="M12" s="216"/>
      <c r="N12" s="220"/>
      <c r="O12" s="220"/>
      <c r="P12" s="220"/>
      <c r="Q12" s="220"/>
      <c r="R12" s="220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</row>
    <row r="13" spans="1:70" ht="20.25">
      <c r="D13" s="194"/>
      <c r="E13" s="194"/>
      <c r="F13" s="194"/>
      <c r="G13" s="194"/>
      <c r="H13" s="255"/>
      <c r="I13" s="204"/>
      <c r="J13" s="204"/>
      <c r="K13" s="204"/>
      <c r="L13" s="204"/>
      <c r="M13" s="216"/>
      <c r="N13" s="220"/>
      <c r="O13" s="220"/>
      <c r="P13" s="220"/>
      <c r="Q13" s="220"/>
      <c r="R13" s="220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</row>
    <row r="14" spans="1:70" ht="20.25">
      <c r="D14" s="194"/>
      <c r="E14" s="194"/>
      <c r="F14" s="194"/>
      <c r="G14" s="194"/>
      <c r="H14" s="255"/>
      <c r="I14" s="204"/>
      <c r="J14" s="204"/>
      <c r="K14" s="204"/>
      <c r="L14" s="204"/>
      <c r="M14" s="216"/>
      <c r="N14" s="220"/>
      <c r="O14" s="220"/>
      <c r="P14" s="220"/>
      <c r="Q14" s="220"/>
      <c r="R14" s="220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</row>
    <row r="15" spans="1:70" ht="20.25">
      <c r="D15" s="194"/>
      <c r="E15" s="194"/>
      <c r="F15" s="194"/>
      <c r="G15" s="194"/>
      <c r="H15" s="255"/>
      <c r="I15" s="204"/>
      <c r="J15" s="204"/>
      <c r="K15" s="204"/>
      <c r="L15" s="204"/>
      <c r="M15" s="216"/>
      <c r="N15" s="220"/>
      <c r="O15" s="220"/>
      <c r="P15" s="220"/>
      <c r="Q15" s="220"/>
      <c r="R15" s="220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</row>
    <row r="16" spans="1:70" ht="20.25">
      <c r="D16" s="194"/>
      <c r="E16" s="194"/>
      <c r="F16" s="194"/>
      <c r="G16" s="194"/>
      <c r="H16" s="255"/>
      <c r="I16" s="204"/>
      <c r="J16" s="204"/>
      <c r="K16" s="204"/>
      <c r="L16" s="204"/>
      <c r="M16" s="216"/>
      <c r="N16" s="220"/>
      <c r="O16" s="220"/>
      <c r="P16" s="220"/>
      <c r="Q16" s="220"/>
      <c r="R16" s="220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</row>
    <row r="17" spans="4:43" ht="20.25">
      <c r="D17" s="194"/>
      <c r="E17" s="194"/>
      <c r="F17" s="194"/>
      <c r="G17" s="194"/>
      <c r="H17" s="255"/>
      <c r="I17" s="204"/>
      <c r="J17" s="204"/>
      <c r="K17" s="204"/>
      <c r="L17" s="204"/>
      <c r="M17" s="216"/>
      <c r="N17" s="220"/>
      <c r="O17" s="220"/>
      <c r="P17" s="220"/>
      <c r="Q17" s="220"/>
      <c r="R17" s="220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</row>
    <row r="18" spans="4:43" ht="20.25">
      <c r="D18" s="194"/>
      <c r="E18" s="194"/>
      <c r="F18" s="194"/>
      <c r="G18" s="194"/>
      <c r="H18" s="255"/>
      <c r="I18" s="204"/>
      <c r="J18" s="204"/>
      <c r="K18" s="204"/>
      <c r="L18" s="204"/>
      <c r="M18" s="216"/>
      <c r="N18" s="220"/>
      <c r="O18" s="220"/>
      <c r="P18" s="220"/>
      <c r="Q18" s="220"/>
      <c r="R18" s="220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</row>
    <row r="19" spans="4:43" ht="20.25">
      <c r="D19" s="194"/>
      <c r="E19" s="194"/>
      <c r="F19" s="194"/>
      <c r="G19" s="194"/>
      <c r="H19" s="255"/>
      <c r="I19" s="204"/>
      <c r="J19" s="204"/>
      <c r="K19" s="204"/>
      <c r="L19" s="204"/>
      <c r="M19" s="216"/>
      <c r="N19" s="220"/>
      <c r="O19" s="220"/>
      <c r="P19" s="220"/>
      <c r="Q19" s="220"/>
      <c r="R19" s="220"/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</row>
    <row r="20" spans="4:43" ht="20.25">
      <c r="D20" s="194"/>
      <c r="E20" s="194"/>
      <c r="F20" s="194"/>
      <c r="G20" s="194"/>
      <c r="H20" s="255"/>
      <c r="I20" s="204"/>
      <c r="J20" s="204"/>
      <c r="K20" s="204"/>
      <c r="L20" s="204"/>
      <c r="M20" s="216"/>
      <c r="N20" s="220"/>
      <c r="O20" s="220"/>
      <c r="P20" s="220"/>
      <c r="Q20" s="220"/>
      <c r="R20" s="220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</row>
    <row r="21" spans="4:43" ht="20.25">
      <c r="D21" s="194"/>
      <c r="E21" s="194"/>
      <c r="F21" s="194"/>
      <c r="G21" s="194"/>
      <c r="H21" s="255"/>
      <c r="I21" s="204"/>
      <c r="J21" s="204"/>
      <c r="K21" s="204"/>
      <c r="L21" s="204"/>
      <c r="M21" s="216"/>
      <c r="N21" s="220"/>
      <c r="O21" s="220"/>
      <c r="P21" s="220"/>
      <c r="Q21" s="220"/>
      <c r="R21" s="220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</row>
    <row r="22" spans="4:43" ht="20.25">
      <c r="D22" s="194"/>
      <c r="E22" s="194"/>
      <c r="F22" s="194"/>
      <c r="G22" s="194"/>
      <c r="H22" s="255"/>
      <c r="I22" s="204"/>
      <c r="J22" s="204"/>
      <c r="K22" s="204"/>
      <c r="L22" s="204"/>
      <c r="M22" s="216"/>
      <c r="N22" s="220"/>
      <c r="O22" s="220"/>
      <c r="P22" s="220"/>
      <c r="Q22" s="220"/>
      <c r="R22" s="220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</row>
    <row r="23" spans="4:43" ht="20.25">
      <c r="D23" s="194"/>
      <c r="E23" s="194"/>
      <c r="F23" s="194"/>
      <c r="G23" s="194"/>
      <c r="H23" s="255"/>
      <c r="I23" s="204"/>
      <c r="J23" s="204"/>
      <c r="K23" s="204"/>
      <c r="L23" s="204"/>
      <c r="M23" s="216"/>
      <c r="N23" s="220"/>
      <c r="O23" s="220"/>
      <c r="P23" s="220"/>
      <c r="Q23" s="220"/>
      <c r="R23" s="220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</row>
    <row r="24" spans="4:43" ht="20.25">
      <c r="D24" s="194"/>
      <c r="E24" s="194"/>
      <c r="F24" s="194"/>
      <c r="G24" s="194"/>
      <c r="H24" s="255"/>
      <c r="I24" s="204"/>
      <c r="J24" s="204"/>
      <c r="K24" s="204"/>
      <c r="L24" s="204"/>
      <c r="M24" s="216"/>
      <c r="N24" s="220"/>
      <c r="O24" s="220"/>
      <c r="P24" s="220"/>
      <c r="Q24" s="220"/>
      <c r="R24" s="220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</row>
    <row r="25" spans="4:43" ht="20.25">
      <c r="D25" s="194"/>
      <c r="E25" s="194"/>
      <c r="F25" s="194"/>
      <c r="G25" s="194"/>
      <c r="H25" s="255"/>
      <c r="I25" s="204"/>
      <c r="J25" s="204"/>
      <c r="K25" s="204"/>
      <c r="L25" s="204"/>
      <c r="M25" s="216"/>
      <c r="N25" s="220"/>
      <c r="O25" s="220"/>
      <c r="P25" s="220"/>
      <c r="Q25" s="220"/>
      <c r="R25" s="220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</row>
    <row r="26" spans="4:43" ht="20.25">
      <c r="D26" s="194"/>
      <c r="E26" s="194"/>
      <c r="F26" s="194"/>
      <c r="G26" s="194"/>
      <c r="H26" s="255"/>
      <c r="I26" s="204"/>
      <c r="J26" s="204"/>
      <c r="K26" s="204"/>
      <c r="L26" s="204"/>
      <c r="M26" s="216"/>
      <c r="N26" s="220"/>
      <c r="O26" s="220"/>
      <c r="P26" s="220"/>
      <c r="Q26" s="220"/>
      <c r="R26" s="220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</row>
    <row r="27" spans="4:43" ht="20.25">
      <c r="D27" s="194"/>
      <c r="E27" s="194"/>
      <c r="F27" s="194"/>
      <c r="G27" s="194"/>
      <c r="H27" s="255"/>
      <c r="I27" s="204"/>
      <c r="J27" s="204"/>
      <c r="K27" s="204"/>
      <c r="L27" s="204"/>
      <c r="M27" s="216"/>
      <c r="N27" s="220"/>
      <c r="O27" s="220"/>
      <c r="P27" s="220"/>
      <c r="Q27" s="220"/>
      <c r="R27" s="220"/>
      <c r="S27" s="194"/>
      <c r="T27" s="194"/>
      <c r="U27" s="194"/>
      <c r="V27" s="194"/>
      <c r="W27" s="194"/>
      <c r="X27" s="194"/>
      <c r="Y27" s="194"/>
      <c r="Z27" s="194"/>
      <c r="AA27" s="194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</row>
    <row r="28" spans="4:43" ht="20.25">
      <c r="D28" s="194"/>
      <c r="E28" s="194"/>
      <c r="F28" s="194"/>
      <c r="G28" s="194"/>
      <c r="H28" s="255"/>
      <c r="I28" s="204"/>
      <c r="J28" s="204"/>
      <c r="K28" s="204"/>
      <c r="L28" s="204"/>
      <c r="M28" s="216"/>
      <c r="N28" s="220"/>
      <c r="O28" s="220"/>
      <c r="P28" s="220"/>
      <c r="Q28" s="220"/>
      <c r="R28" s="220"/>
      <c r="S28" s="194"/>
      <c r="T28" s="194"/>
      <c r="U28" s="194"/>
      <c r="V28" s="194"/>
      <c r="W28" s="194"/>
      <c r="X28" s="194"/>
      <c r="Y28" s="194"/>
      <c r="Z28" s="194"/>
      <c r="AA28" s="194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</row>
    <row r="29" spans="4:43" ht="20.25">
      <c r="D29" s="194"/>
      <c r="E29" s="194"/>
      <c r="F29" s="194"/>
      <c r="G29" s="194"/>
      <c r="H29" s="255"/>
      <c r="I29" s="204"/>
      <c r="J29" s="204"/>
      <c r="K29" s="204"/>
      <c r="L29" s="204"/>
      <c r="M29" s="216"/>
      <c r="N29" s="220"/>
      <c r="O29" s="220"/>
      <c r="P29" s="220"/>
      <c r="Q29" s="220"/>
      <c r="R29" s="220"/>
      <c r="S29" s="194"/>
      <c r="T29" s="194"/>
      <c r="U29" s="194"/>
      <c r="V29" s="194"/>
      <c r="W29" s="194"/>
      <c r="X29" s="194"/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</row>
    <row r="30" spans="4:43" ht="20.25">
      <c r="D30" s="194"/>
      <c r="E30" s="194"/>
      <c r="F30" s="194"/>
      <c r="G30" s="194"/>
      <c r="H30" s="255"/>
      <c r="I30" s="204"/>
      <c r="J30" s="204"/>
      <c r="K30" s="204"/>
      <c r="L30" s="204"/>
      <c r="M30" s="216"/>
      <c r="N30" s="220"/>
      <c r="O30" s="220"/>
      <c r="P30" s="220"/>
      <c r="Q30" s="220"/>
      <c r="R30" s="220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</row>
    <row r="31" spans="4:43" ht="20.25">
      <c r="D31" s="194"/>
      <c r="E31" s="194"/>
      <c r="F31" s="194"/>
      <c r="G31" s="194"/>
      <c r="H31" s="255"/>
      <c r="I31" s="204"/>
      <c r="J31" s="204"/>
      <c r="K31" s="204"/>
      <c r="L31" s="204"/>
      <c r="M31" s="216"/>
      <c r="N31" s="220"/>
      <c r="O31" s="220"/>
      <c r="P31" s="220"/>
      <c r="Q31" s="220"/>
      <c r="R31" s="220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</row>
    <row r="32" spans="4:43" ht="20.25">
      <c r="D32" s="194"/>
      <c r="E32" s="194"/>
      <c r="F32" s="194"/>
      <c r="G32" s="194"/>
      <c r="H32" s="255"/>
      <c r="I32" s="204"/>
      <c r="J32" s="204"/>
      <c r="K32" s="204"/>
      <c r="L32" s="204"/>
      <c r="M32" s="216"/>
      <c r="N32" s="220"/>
      <c r="O32" s="220"/>
      <c r="P32" s="220"/>
      <c r="Q32" s="220"/>
      <c r="R32" s="220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</row>
    <row r="33" spans="4:43" ht="20.25">
      <c r="D33" s="194"/>
      <c r="E33" s="194"/>
      <c r="F33" s="194"/>
      <c r="G33" s="194"/>
      <c r="H33" s="255"/>
      <c r="I33" s="204"/>
      <c r="J33" s="204"/>
      <c r="K33" s="204"/>
      <c r="L33" s="204"/>
      <c r="M33" s="216"/>
      <c r="N33" s="220"/>
      <c r="O33" s="220"/>
      <c r="P33" s="220"/>
      <c r="Q33" s="220"/>
      <c r="R33" s="220"/>
      <c r="S33" s="194"/>
      <c r="T33" s="194"/>
      <c r="U33" s="194"/>
      <c r="V33" s="194"/>
      <c r="W33" s="194"/>
      <c r="X33" s="194"/>
      <c r="Y33" s="194"/>
      <c r="Z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</row>
    <row r="34" spans="4:43" ht="20.25">
      <c r="D34" s="194"/>
      <c r="E34" s="194"/>
      <c r="F34" s="194"/>
      <c r="G34" s="194"/>
      <c r="H34" s="255"/>
      <c r="I34" s="204"/>
      <c r="J34" s="204"/>
      <c r="K34" s="204"/>
      <c r="L34" s="204"/>
      <c r="M34" s="216"/>
      <c r="N34" s="220"/>
      <c r="O34" s="220"/>
      <c r="P34" s="220"/>
      <c r="Q34" s="220"/>
      <c r="R34" s="220"/>
      <c r="S34" s="194"/>
      <c r="T34" s="194"/>
      <c r="U34" s="194"/>
      <c r="V34" s="194"/>
      <c r="W34" s="194"/>
      <c r="X34" s="194"/>
      <c r="Y34" s="194"/>
      <c r="Z34" s="194"/>
      <c r="AA34" s="194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</row>
    <row r="35" spans="4:43" ht="20.25">
      <c r="D35" s="194"/>
      <c r="E35" s="194"/>
      <c r="F35" s="194"/>
      <c r="G35" s="194"/>
      <c r="H35" s="255"/>
      <c r="I35" s="204"/>
      <c r="J35" s="204"/>
      <c r="K35" s="204"/>
      <c r="L35" s="204"/>
      <c r="M35" s="216"/>
      <c r="N35" s="220"/>
      <c r="O35" s="220"/>
      <c r="P35" s="220"/>
      <c r="Q35" s="220"/>
      <c r="R35" s="220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</row>
    <row r="36" spans="4:43" ht="20.25">
      <c r="D36" s="194"/>
      <c r="E36" s="194"/>
      <c r="F36" s="194"/>
      <c r="G36" s="194"/>
      <c r="H36" s="255"/>
      <c r="I36" s="204"/>
      <c r="J36" s="204"/>
      <c r="K36" s="204"/>
      <c r="L36" s="204"/>
      <c r="M36" s="216"/>
      <c r="N36" s="220"/>
      <c r="O36" s="220"/>
      <c r="P36" s="220"/>
      <c r="Q36" s="220"/>
      <c r="R36" s="220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</row>
    <row r="37" spans="4:43" ht="20.25">
      <c r="D37" s="194"/>
      <c r="E37" s="194"/>
      <c r="F37" s="194"/>
      <c r="G37" s="194"/>
      <c r="H37" s="255"/>
      <c r="I37" s="204"/>
      <c r="J37" s="204"/>
      <c r="K37" s="204"/>
      <c r="L37" s="204"/>
      <c r="M37" s="216"/>
      <c r="N37" s="220"/>
      <c r="O37" s="220"/>
      <c r="P37" s="220"/>
      <c r="Q37" s="220"/>
      <c r="R37" s="220"/>
      <c r="S37" s="194"/>
      <c r="T37" s="194"/>
      <c r="U37" s="194"/>
      <c r="V37" s="194"/>
      <c r="W37" s="194"/>
      <c r="X37" s="194"/>
      <c r="Y37" s="194"/>
      <c r="Z37" s="194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</row>
    <row r="38" spans="4:43" ht="20.25">
      <c r="D38" s="194"/>
      <c r="E38" s="194"/>
      <c r="F38" s="194"/>
      <c r="G38" s="194"/>
      <c r="H38" s="255"/>
      <c r="I38" s="204"/>
      <c r="J38" s="204"/>
      <c r="K38" s="204"/>
      <c r="L38" s="204"/>
      <c r="M38" s="216"/>
      <c r="N38" s="220"/>
      <c r="O38" s="220"/>
      <c r="P38" s="220"/>
      <c r="Q38" s="220"/>
      <c r="R38" s="220"/>
      <c r="S38" s="194"/>
      <c r="T38" s="194"/>
      <c r="U38" s="194"/>
      <c r="V38" s="194"/>
      <c r="W38" s="194"/>
      <c r="X38" s="194"/>
      <c r="Y38" s="194"/>
      <c r="Z38" s="194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</row>
    <row r="39" spans="4:43" ht="20.25">
      <c r="D39" s="194"/>
      <c r="E39" s="194"/>
      <c r="F39" s="194"/>
      <c r="G39" s="194"/>
      <c r="H39" s="255"/>
      <c r="I39" s="204"/>
      <c r="J39" s="204"/>
      <c r="K39" s="204"/>
      <c r="L39" s="204"/>
      <c r="M39" s="216"/>
      <c r="N39" s="220"/>
      <c r="O39" s="220"/>
      <c r="P39" s="220"/>
      <c r="Q39" s="220"/>
      <c r="R39" s="220"/>
      <c r="S39" s="194"/>
      <c r="T39" s="194"/>
      <c r="U39" s="194"/>
      <c r="V39" s="194"/>
      <c r="W39" s="194"/>
      <c r="X39" s="194"/>
      <c r="Y39" s="194"/>
      <c r="Z39" s="194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</row>
    <row r="40" spans="4:43" ht="20.25">
      <c r="D40" s="194"/>
      <c r="E40" s="194"/>
      <c r="F40" s="194"/>
      <c r="G40" s="194"/>
      <c r="H40" s="255"/>
      <c r="I40" s="204"/>
      <c r="J40" s="204"/>
      <c r="K40" s="204"/>
      <c r="L40" s="204"/>
      <c r="M40" s="216"/>
      <c r="N40" s="220"/>
      <c r="O40" s="220"/>
      <c r="P40" s="220"/>
      <c r="Q40" s="220"/>
      <c r="R40" s="220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</row>
    <row r="41" spans="4:43" ht="20.25">
      <c r="D41" s="194"/>
      <c r="E41" s="194"/>
      <c r="F41" s="194"/>
      <c r="G41" s="194"/>
      <c r="H41" s="255"/>
      <c r="I41" s="204"/>
      <c r="J41" s="204"/>
      <c r="K41" s="204"/>
      <c r="L41" s="204"/>
      <c r="M41" s="216"/>
      <c r="N41" s="220"/>
      <c r="O41" s="220"/>
      <c r="P41" s="220"/>
      <c r="Q41" s="220"/>
      <c r="R41" s="220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</row>
    <row r="42" spans="4:43" ht="20.25">
      <c r="D42" s="194"/>
      <c r="E42" s="194"/>
      <c r="F42" s="194"/>
      <c r="G42" s="194"/>
      <c r="H42" s="255"/>
      <c r="I42" s="204"/>
      <c r="J42" s="204"/>
      <c r="K42" s="204"/>
      <c r="L42" s="204"/>
      <c r="M42" s="216"/>
      <c r="N42" s="220"/>
      <c r="O42" s="220"/>
      <c r="P42" s="220"/>
      <c r="Q42" s="220"/>
      <c r="R42" s="220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</row>
    <row r="43" spans="4:43" ht="20.25">
      <c r="D43" s="194"/>
      <c r="E43" s="194"/>
      <c r="F43" s="194"/>
      <c r="G43" s="194"/>
      <c r="H43" s="255"/>
      <c r="I43" s="204"/>
      <c r="J43" s="204"/>
      <c r="K43" s="204"/>
      <c r="L43" s="204"/>
      <c r="M43" s="216"/>
      <c r="N43" s="220"/>
      <c r="O43" s="220"/>
      <c r="P43" s="220"/>
      <c r="Q43" s="220"/>
      <c r="R43" s="220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</row>
    <row r="44" spans="4:43" ht="20.25">
      <c r="D44" s="194"/>
      <c r="E44" s="194"/>
      <c r="F44" s="194"/>
      <c r="G44" s="194"/>
      <c r="H44" s="255"/>
      <c r="I44" s="204"/>
      <c r="J44" s="204"/>
      <c r="K44" s="204"/>
      <c r="L44" s="204"/>
      <c r="M44" s="216"/>
      <c r="N44" s="220"/>
      <c r="O44" s="220"/>
      <c r="P44" s="220"/>
      <c r="Q44" s="220"/>
      <c r="R44" s="220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</row>
    <row r="45" spans="4:43" ht="20.25">
      <c r="D45" s="194"/>
      <c r="E45" s="194"/>
      <c r="F45" s="194"/>
      <c r="G45" s="194"/>
      <c r="H45" s="255"/>
      <c r="I45" s="204"/>
      <c r="J45" s="204"/>
      <c r="K45" s="204"/>
      <c r="L45" s="204"/>
      <c r="M45" s="216"/>
      <c r="N45" s="220"/>
      <c r="O45" s="220"/>
      <c r="P45" s="220"/>
      <c r="Q45" s="220"/>
      <c r="R45" s="220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</row>
    <row r="46" spans="4:43" ht="20.25">
      <c r="D46" s="194"/>
      <c r="E46" s="194"/>
      <c r="F46" s="194"/>
      <c r="G46" s="194"/>
      <c r="H46" s="255"/>
      <c r="I46" s="204"/>
      <c r="J46" s="204"/>
      <c r="K46" s="204"/>
      <c r="L46" s="204"/>
      <c r="M46" s="216"/>
      <c r="N46" s="220"/>
      <c r="O46" s="220"/>
      <c r="P46" s="220"/>
      <c r="Q46" s="220"/>
      <c r="R46" s="220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</row>
    <row r="47" spans="4:43" ht="20.25">
      <c r="D47" s="194"/>
      <c r="E47" s="194"/>
      <c r="F47" s="194"/>
      <c r="G47" s="194"/>
      <c r="H47" s="255"/>
      <c r="I47" s="204"/>
      <c r="J47" s="204"/>
      <c r="K47" s="204"/>
      <c r="L47" s="204"/>
      <c r="M47" s="216"/>
      <c r="N47" s="220"/>
      <c r="O47" s="220"/>
      <c r="P47" s="220"/>
      <c r="Q47" s="220"/>
      <c r="R47" s="220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</row>
    <row r="48" spans="4:43" ht="20.25">
      <c r="D48" s="194"/>
      <c r="E48" s="194"/>
      <c r="F48" s="194"/>
      <c r="G48" s="194"/>
      <c r="H48" s="255"/>
      <c r="I48" s="204"/>
      <c r="J48" s="204"/>
      <c r="K48" s="204"/>
      <c r="L48" s="204"/>
      <c r="M48" s="216"/>
      <c r="N48" s="220"/>
      <c r="O48" s="220"/>
      <c r="P48" s="220"/>
      <c r="Q48" s="220"/>
      <c r="R48" s="220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</row>
    <row r="49" spans="4:43" ht="20.25">
      <c r="D49" s="194"/>
      <c r="E49" s="194"/>
      <c r="F49" s="194"/>
      <c r="G49" s="194"/>
      <c r="H49" s="255"/>
      <c r="I49" s="204"/>
      <c r="J49" s="204"/>
      <c r="K49" s="204"/>
      <c r="L49" s="204"/>
      <c r="M49" s="216"/>
      <c r="N49" s="220"/>
      <c r="O49" s="220"/>
      <c r="P49" s="220"/>
      <c r="Q49" s="220"/>
      <c r="R49" s="220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</row>
    <row r="50" spans="4:43" ht="20.25">
      <c r="D50" s="194"/>
      <c r="E50" s="194"/>
      <c r="F50" s="194"/>
      <c r="G50" s="194"/>
      <c r="H50" s="255"/>
      <c r="I50" s="204"/>
      <c r="J50" s="204"/>
      <c r="K50" s="204"/>
      <c r="L50" s="204"/>
      <c r="M50" s="216"/>
      <c r="N50" s="220"/>
      <c r="O50" s="220"/>
      <c r="P50" s="220"/>
      <c r="Q50" s="220"/>
      <c r="R50" s="220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</row>
    <row r="51" spans="4:43" ht="20.25">
      <c r="D51" s="194"/>
      <c r="E51" s="194"/>
      <c r="F51" s="194"/>
      <c r="G51" s="194"/>
      <c r="H51" s="255"/>
      <c r="I51" s="204"/>
      <c r="J51" s="204"/>
      <c r="K51" s="204"/>
      <c r="L51" s="204"/>
      <c r="M51" s="216"/>
      <c r="N51" s="220"/>
      <c r="O51" s="220"/>
      <c r="P51" s="220"/>
      <c r="Q51" s="220"/>
      <c r="R51" s="220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</row>
    <row r="52" spans="4:43" ht="20.25">
      <c r="D52" s="194"/>
      <c r="E52" s="194"/>
      <c r="F52" s="194"/>
      <c r="G52" s="194"/>
      <c r="H52" s="255"/>
      <c r="I52" s="204"/>
      <c r="J52" s="204"/>
      <c r="K52" s="204"/>
      <c r="L52" s="204"/>
      <c r="M52" s="216"/>
      <c r="N52" s="220"/>
      <c r="O52" s="220"/>
      <c r="P52" s="220"/>
      <c r="Q52" s="220"/>
      <c r="R52" s="220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</row>
    <row r="53" spans="4:43" ht="20.25">
      <c r="D53" s="194"/>
      <c r="E53" s="194"/>
      <c r="F53" s="194"/>
      <c r="G53" s="194"/>
      <c r="H53" s="255"/>
      <c r="I53" s="204"/>
      <c r="J53" s="204"/>
      <c r="K53" s="204"/>
      <c r="L53" s="204"/>
      <c r="M53" s="216"/>
      <c r="N53" s="220"/>
      <c r="O53" s="220"/>
      <c r="P53" s="220"/>
      <c r="Q53" s="220"/>
      <c r="R53" s="220"/>
      <c r="S53" s="194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</row>
    <row r="54" spans="4:43" ht="20.25">
      <c r="D54" s="194"/>
      <c r="E54" s="194"/>
      <c r="F54" s="194"/>
      <c r="G54" s="194"/>
      <c r="H54" s="255"/>
      <c r="I54" s="204"/>
      <c r="J54" s="204"/>
      <c r="K54" s="204"/>
      <c r="L54" s="204"/>
      <c r="M54" s="216"/>
      <c r="N54" s="220"/>
      <c r="O54" s="220"/>
      <c r="P54" s="220"/>
      <c r="Q54" s="220"/>
      <c r="R54" s="220"/>
      <c r="S54" s="194"/>
      <c r="T54" s="194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</row>
    <row r="55" spans="4:43" ht="20.25">
      <c r="D55" s="194"/>
      <c r="E55" s="194"/>
      <c r="F55" s="194"/>
      <c r="G55" s="194"/>
      <c r="H55" s="255"/>
      <c r="I55" s="204"/>
      <c r="J55" s="204"/>
      <c r="K55" s="204"/>
      <c r="L55" s="204"/>
      <c r="M55" s="216"/>
      <c r="N55" s="220"/>
      <c r="O55" s="220"/>
      <c r="P55" s="220"/>
      <c r="Q55" s="220"/>
      <c r="R55" s="220"/>
      <c r="S55" s="194"/>
      <c r="T55" s="194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</row>
    <row r="56" spans="4:43" ht="20.25">
      <c r="D56" s="194"/>
      <c r="E56" s="194"/>
      <c r="F56" s="194"/>
      <c r="G56" s="194"/>
      <c r="H56" s="255"/>
      <c r="I56" s="204"/>
      <c r="J56" s="204"/>
      <c r="K56" s="204"/>
      <c r="L56" s="204"/>
      <c r="M56" s="216"/>
      <c r="N56" s="220"/>
      <c r="O56" s="220"/>
      <c r="P56" s="220"/>
      <c r="Q56" s="220"/>
      <c r="R56" s="220"/>
      <c r="S56" s="194"/>
      <c r="T56" s="194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</row>
    <row r="57" spans="4:43" ht="20.25">
      <c r="D57" s="194"/>
      <c r="E57" s="194"/>
      <c r="F57" s="194"/>
      <c r="G57" s="194"/>
      <c r="H57" s="255"/>
      <c r="I57" s="204"/>
      <c r="J57" s="204"/>
      <c r="K57" s="204"/>
      <c r="L57" s="204"/>
      <c r="M57" s="216"/>
      <c r="N57" s="220"/>
      <c r="O57" s="220"/>
      <c r="P57" s="220"/>
      <c r="Q57" s="220"/>
      <c r="R57" s="220"/>
      <c r="S57" s="194"/>
      <c r="T57" s="194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</row>
    <row r="58" spans="4:43" ht="20.25">
      <c r="D58" s="194"/>
      <c r="E58" s="194"/>
      <c r="F58" s="194"/>
      <c r="G58" s="194"/>
      <c r="H58" s="255"/>
      <c r="I58" s="204"/>
      <c r="J58" s="204"/>
      <c r="K58" s="204"/>
      <c r="L58" s="204"/>
      <c r="M58" s="216"/>
      <c r="N58" s="220"/>
      <c r="O58" s="220"/>
      <c r="P58" s="220"/>
      <c r="Q58" s="220"/>
      <c r="R58" s="220"/>
      <c r="S58" s="194"/>
      <c r="T58" s="194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</row>
    <row r="59" spans="4:43" ht="20.25">
      <c r="D59" s="194"/>
      <c r="E59" s="194"/>
      <c r="F59" s="194"/>
      <c r="G59" s="194"/>
      <c r="H59" s="255"/>
      <c r="I59" s="204"/>
      <c r="J59" s="204"/>
      <c r="K59" s="204"/>
      <c r="L59" s="204"/>
      <c r="M59" s="216"/>
      <c r="N59" s="220"/>
      <c r="O59" s="220"/>
      <c r="P59" s="220"/>
      <c r="Q59" s="220"/>
      <c r="R59" s="220"/>
      <c r="S59" s="194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</row>
    <row r="60" spans="4:43" ht="20.25">
      <c r="D60" s="194"/>
      <c r="E60" s="194"/>
      <c r="F60" s="194"/>
      <c r="G60" s="194"/>
      <c r="H60" s="255"/>
      <c r="I60" s="204"/>
      <c r="J60" s="204"/>
      <c r="K60" s="204"/>
      <c r="L60" s="204"/>
      <c r="M60" s="216"/>
      <c r="N60" s="220"/>
      <c r="O60" s="220"/>
      <c r="P60" s="220"/>
      <c r="Q60" s="220"/>
      <c r="R60" s="220"/>
      <c r="S60" s="194"/>
      <c r="T60" s="194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</row>
    <row r="61" spans="4:43" ht="20.25">
      <c r="D61" s="194"/>
      <c r="E61" s="194"/>
      <c r="F61" s="194"/>
      <c r="G61" s="194"/>
      <c r="H61" s="255"/>
      <c r="I61" s="204"/>
      <c r="J61" s="204"/>
      <c r="K61" s="204"/>
      <c r="L61" s="204"/>
      <c r="M61" s="216"/>
      <c r="N61" s="220"/>
      <c r="O61" s="220"/>
      <c r="P61" s="220"/>
      <c r="Q61" s="220"/>
      <c r="R61" s="220"/>
      <c r="S61" s="194"/>
      <c r="T61" s="194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</row>
    <row r="62" spans="4:43" ht="20.25">
      <c r="D62" s="194"/>
      <c r="E62" s="194"/>
      <c r="F62" s="194"/>
      <c r="G62" s="194"/>
      <c r="H62" s="255"/>
      <c r="I62" s="204"/>
      <c r="J62" s="204"/>
      <c r="K62" s="204"/>
      <c r="L62" s="204"/>
      <c r="M62" s="216"/>
      <c r="N62" s="220"/>
      <c r="O62" s="220"/>
      <c r="P62" s="220"/>
      <c r="Q62" s="220"/>
      <c r="R62" s="220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</row>
    <row r="63" spans="4:43" ht="20.25">
      <c r="D63" s="194"/>
      <c r="E63" s="194"/>
      <c r="F63" s="194"/>
      <c r="G63" s="194"/>
      <c r="H63" s="255"/>
      <c r="I63" s="204"/>
      <c r="J63" s="204"/>
      <c r="K63" s="204"/>
      <c r="L63" s="204"/>
      <c r="M63" s="216"/>
      <c r="N63" s="220"/>
      <c r="O63" s="220"/>
      <c r="P63" s="220"/>
      <c r="Q63" s="220"/>
      <c r="R63" s="220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</row>
    <row r="64" spans="4:43" ht="20.25">
      <c r="D64" s="194"/>
      <c r="E64" s="194"/>
      <c r="F64" s="194"/>
      <c r="G64" s="194"/>
      <c r="H64" s="255"/>
      <c r="I64" s="204"/>
      <c r="J64" s="204"/>
      <c r="K64" s="204"/>
      <c r="L64" s="204"/>
      <c r="M64" s="216"/>
      <c r="N64" s="220"/>
      <c r="O64" s="220"/>
      <c r="P64" s="220"/>
      <c r="Q64" s="220"/>
      <c r="R64" s="220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</row>
    <row r="65" spans="4:43" ht="20.25">
      <c r="D65" s="194"/>
      <c r="E65" s="194"/>
      <c r="F65" s="194"/>
      <c r="G65" s="194"/>
      <c r="H65" s="255"/>
      <c r="I65" s="204"/>
      <c r="J65" s="204"/>
      <c r="K65" s="204"/>
      <c r="L65" s="204"/>
      <c r="M65" s="216"/>
      <c r="N65" s="220"/>
      <c r="O65" s="220"/>
      <c r="P65" s="220"/>
      <c r="Q65" s="220"/>
      <c r="R65" s="220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</row>
    <row r="66" spans="4:43" ht="20.25">
      <c r="D66" s="194"/>
      <c r="E66" s="194"/>
      <c r="F66" s="194"/>
      <c r="G66" s="194"/>
      <c r="H66" s="255"/>
      <c r="I66" s="204"/>
      <c r="J66" s="204"/>
      <c r="K66" s="204"/>
      <c r="L66" s="204"/>
      <c r="M66" s="216"/>
      <c r="N66" s="220"/>
      <c r="O66" s="220"/>
      <c r="P66" s="220"/>
      <c r="Q66" s="220"/>
      <c r="R66" s="220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</row>
    <row r="67" spans="4:43" ht="20.25">
      <c r="D67" s="194"/>
      <c r="E67" s="194"/>
      <c r="F67" s="194"/>
      <c r="G67" s="194"/>
      <c r="H67" s="255"/>
      <c r="I67" s="204"/>
      <c r="J67" s="204"/>
      <c r="K67" s="204"/>
      <c r="L67" s="204"/>
      <c r="M67" s="216"/>
      <c r="N67" s="220"/>
      <c r="O67" s="220"/>
      <c r="P67" s="220"/>
      <c r="Q67" s="220"/>
      <c r="R67" s="220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</row>
    <row r="68" spans="4:43" ht="20.25">
      <c r="D68" s="194"/>
      <c r="E68" s="194"/>
      <c r="F68" s="194"/>
      <c r="G68" s="194"/>
      <c r="H68" s="255"/>
      <c r="I68" s="204"/>
      <c r="J68" s="204"/>
      <c r="K68" s="204"/>
      <c r="L68" s="204"/>
      <c r="M68" s="216"/>
      <c r="N68" s="220"/>
      <c r="O68" s="220"/>
      <c r="P68" s="220"/>
      <c r="Q68" s="220"/>
      <c r="R68" s="220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</row>
    <row r="69" spans="4:43" ht="20.25">
      <c r="D69" s="194"/>
      <c r="E69" s="194"/>
      <c r="F69" s="194"/>
      <c r="G69" s="194"/>
      <c r="H69" s="255"/>
      <c r="I69" s="204"/>
      <c r="J69" s="204"/>
      <c r="K69" s="204"/>
      <c r="L69" s="204"/>
      <c r="M69" s="216"/>
      <c r="N69" s="220"/>
      <c r="O69" s="220"/>
      <c r="P69" s="220"/>
      <c r="Q69" s="220"/>
      <c r="R69" s="220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</row>
    <row r="70" spans="4:43" ht="20.25">
      <c r="D70" s="194"/>
      <c r="E70" s="194"/>
      <c r="F70" s="194"/>
      <c r="G70" s="194"/>
      <c r="H70" s="255"/>
      <c r="I70" s="204"/>
      <c r="J70" s="204"/>
      <c r="K70" s="204"/>
      <c r="L70" s="204"/>
      <c r="M70" s="216"/>
      <c r="N70" s="220"/>
      <c r="O70" s="220"/>
      <c r="P70" s="220"/>
      <c r="Q70" s="220"/>
      <c r="R70" s="220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</row>
    <row r="71" spans="4:43" ht="20.25">
      <c r="D71" s="194"/>
      <c r="E71" s="194"/>
      <c r="F71" s="194"/>
      <c r="G71" s="194"/>
      <c r="H71" s="255"/>
      <c r="I71" s="204"/>
      <c r="J71" s="204"/>
      <c r="K71" s="204"/>
      <c r="L71" s="204"/>
      <c r="M71" s="216"/>
      <c r="N71" s="220"/>
      <c r="O71" s="220"/>
      <c r="P71" s="220"/>
      <c r="Q71" s="220"/>
      <c r="R71" s="220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</row>
    <row r="72" spans="4:43" ht="20.25">
      <c r="D72" s="194"/>
      <c r="E72" s="194"/>
      <c r="F72" s="194"/>
      <c r="G72" s="194"/>
      <c r="H72" s="255"/>
      <c r="I72" s="204"/>
      <c r="J72" s="204"/>
      <c r="K72" s="204"/>
      <c r="L72" s="204"/>
      <c r="M72" s="216"/>
      <c r="N72" s="220"/>
      <c r="O72" s="220"/>
      <c r="P72" s="220"/>
      <c r="Q72" s="220"/>
      <c r="R72" s="220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</row>
    <row r="73" spans="4:43" ht="20.25">
      <c r="D73" s="194"/>
      <c r="E73" s="194"/>
      <c r="F73" s="194"/>
      <c r="G73" s="194"/>
      <c r="H73" s="255"/>
      <c r="I73" s="204"/>
      <c r="J73" s="204"/>
      <c r="K73" s="204"/>
      <c r="L73" s="204"/>
      <c r="M73" s="216"/>
      <c r="N73" s="220"/>
      <c r="O73" s="220"/>
      <c r="P73" s="220"/>
      <c r="Q73" s="220"/>
      <c r="R73" s="220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</row>
    <row r="74" spans="4:43" ht="20.25">
      <c r="D74" s="194"/>
      <c r="E74" s="194"/>
      <c r="F74" s="194"/>
      <c r="G74" s="194"/>
      <c r="H74" s="255"/>
      <c r="I74" s="204"/>
      <c r="J74" s="204"/>
      <c r="K74" s="204"/>
      <c r="L74" s="204"/>
      <c r="M74" s="216"/>
      <c r="N74" s="220"/>
      <c r="O74" s="220"/>
      <c r="P74" s="220"/>
      <c r="Q74" s="220"/>
      <c r="R74" s="220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</row>
    <row r="75" spans="4:43" ht="20.25">
      <c r="D75" s="194"/>
      <c r="E75" s="194"/>
      <c r="F75" s="194"/>
      <c r="G75" s="194"/>
      <c r="H75" s="255"/>
      <c r="I75" s="204"/>
      <c r="J75" s="204"/>
      <c r="K75" s="204"/>
      <c r="L75" s="204"/>
      <c r="M75" s="216"/>
      <c r="N75" s="220"/>
      <c r="O75" s="220"/>
      <c r="P75" s="220"/>
      <c r="Q75" s="220"/>
      <c r="R75" s="220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</row>
    <row r="76" spans="4:43" ht="20.25">
      <c r="D76" s="194"/>
      <c r="E76" s="194"/>
      <c r="F76" s="194"/>
      <c r="G76" s="194"/>
      <c r="H76" s="255"/>
      <c r="I76" s="204"/>
      <c r="J76" s="204"/>
      <c r="K76" s="204"/>
      <c r="L76" s="204"/>
      <c r="M76" s="216"/>
      <c r="N76" s="220"/>
      <c r="O76" s="220"/>
      <c r="P76" s="220"/>
      <c r="Q76" s="220"/>
      <c r="R76" s="220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</row>
    <row r="77" spans="4:43" ht="20.25">
      <c r="D77" s="194"/>
      <c r="E77" s="194"/>
      <c r="F77" s="194"/>
      <c r="G77" s="194"/>
      <c r="H77" s="255"/>
      <c r="I77" s="204"/>
      <c r="J77" s="204"/>
      <c r="K77" s="204"/>
      <c r="L77" s="204"/>
      <c r="M77" s="216"/>
      <c r="N77" s="220"/>
      <c r="O77" s="220"/>
      <c r="P77" s="220"/>
      <c r="Q77" s="220"/>
      <c r="R77" s="220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</row>
    <row r="78" spans="4:43" ht="20.25">
      <c r="D78" s="194"/>
      <c r="E78" s="194"/>
      <c r="F78" s="194"/>
      <c r="G78" s="194"/>
      <c r="H78" s="255"/>
      <c r="I78" s="204"/>
      <c r="J78" s="204"/>
      <c r="K78" s="204"/>
      <c r="L78" s="204"/>
      <c r="M78" s="216"/>
      <c r="N78" s="220"/>
      <c r="O78" s="220"/>
      <c r="P78" s="220"/>
      <c r="Q78" s="220"/>
      <c r="R78" s="220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4"/>
      <c r="AN78" s="194"/>
      <c r="AO78" s="194"/>
      <c r="AP78" s="194"/>
      <c r="AQ78" s="194"/>
    </row>
    <row r="79" spans="4:43" ht="20.25">
      <c r="D79" s="194"/>
      <c r="E79" s="194"/>
      <c r="F79" s="194"/>
      <c r="G79" s="194"/>
      <c r="H79" s="255"/>
      <c r="I79" s="204"/>
      <c r="J79" s="204"/>
      <c r="K79" s="204"/>
      <c r="L79" s="204"/>
      <c r="M79" s="216"/>
      <c r="N79" s="220"/>
      <c r="O79" s="220"/>
      <c r="P79" s="220"/>
      <c r="Q79" s="220"/>
      <c r="R79" s="220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4"/>
      <c r="AN79" s="194"/>
      <c r="AO79" s="194"/>
      <c r="AP79" s="194"/>
      <c r="AQ79" s="194"/>
    </row>
    <row r="80" spans="4:43" ht="20.25">
      <c r="D80" s="194"/>
      <c r="E80" s="194"/>
      <c r="F80" s="194"/>
      <c r="G80" s="194"/>
      <c r="H80" s="255"/>
      <c r="I80" s="204"/>
      <c r="J80" s="204"/>
      <c r="K80" s="204"/>
      <c r="L80" s="204"/>
      <c r="M80" s="216"/>
      <c r="N80" s="220"/>
      <c r="O80" s="220"/>
      <c r="P80" s="220"/>
      <c r="Q80" s="220"/>
      <c r="R80" s="220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  <c r="AI80" s="194"/>
      <c r="AJ80" s="194"/>
      <c r="AK80" s="194"/>
      <c r="AL80" s="194"/>
      <c r="AM80" s="194"/>
      <c r="AN80" s="194"/>
      <c r="AO80" s="194"/>
      <c r="AP80" s="194"/>
      <c r="AQ80" s="194"/>
    </row>
    <row r="81" spans="4:43" ht="20.25">
      <c r="D81" s="194"/>
      <c r="E81" s="194"/>
      <c r="F81" s="194"/>
      <c r="G81" s="194"/>
      <c r="H81" s="255"/>
      <c r="I81" s="204"/>
      <c r="J81" s="204"/>
      <c r="K81" s="204"/>
      <c r="L81" s="204"/>
      <c r="M81" s="216"/>
      <c r="N81" s="220"/>
      <c r="O81" s="220"/>
      <c r="P81" s="220"/>
      <c r="Q81" s="220"/>
      <c r="R81" s="220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4"/>
      <c r="AN81" s="194"/>
      <c r="AO81" s="194"/>
      <c r="AP81" s="194"/>
      <c r="AQ81" s="194"/>
    </row>
    <row r="82" spans="4:43" ht="20.25">
      <c r="D82" s="194"/>
      <c r="E82" s="194"/>
      <c r="F82" s="194"/>
      <c r="G82" s="194"/>
      <c r="H82" s="255"/>
      <c r="I82" s="204"/>
      <c r="J82" s="204"/>
      <c r="K82" s="204"/>
      <c r="L82" s="204"/>
      <c r="M82" s="216"/>
      <c r="N82" s="220"/>
      <c r="O82" s="220"/>
      <c r="P82" s="220"/>
      <c r="Q82" s="220"/>
      <c r="R82" s="220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  <c r="AI82" s="194"/>
      <c r="AJ82" s="194"/>
      <c r="AK82" s="194"/>
      <c r="AL82" s="194"/>
      <c r="AM82" s="194"/>
      <c r="AN82" s="194"/>
      <c r="AO82" s="194"/>
      <c r="AP82" s="194"/>
      <c r="AQ82" s="194"/>
    </row>
    <row r="83" spans="4:43" ht="20.25">
      <c r="D83" s="194"/>
      <c r="E83" s="194"/>
      <c r="F83" s="194"/>
      <c r="G83" s="194"/>
      <c r="H83" s="255"/>
      <c r="I83" s="204"/>
      <c r="J83" s="204"/>
      <c r="K83" s="204"/>
      <c r="L83" s="204"/>
      <c r="M83" s="216"/>
      <c r="N83" s="220"/>
      <c r="O83" s="220"/>
      <c r="P83" s="220"/>
      <c r="Q83" s="220"/>
      <c r="R83" s="220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  <c r="AI83" s="194"/>
      <c r="AJ83" s="194"/>
      <c r="AK83" s="194"/>
      <c r="AL83" s="194"/>
      <c r="AM83" s="194"/>
      <c r="AN83" s="194"/>
      <c r="AO83" s="194"/>
      <c r="AP83" s="194"/>
      <c r="AQ83" s="194"/>
    </row>
    <row r="84" spans="4:43" ht="20.25">
      <c r="D84" s="194"/>
      <c r="E84" s="194"/>
      <c r="F84" s="194"/>
      <c r="G84" s="194"/>
      <c r="H84" s="255"/>
      <c r="I84" s="204"/>
      <c r="J84" s="204"/>
      <c r="K84" s="204"/>
      <c r="L84" s="204"/>
      <c r="M84" s="216"/>
      <c r="N84" s="220"/>
      <c r="O84" s="220"/>
      <c r="P84" s="220"/>
      <c r="Q84" s="220"/>
      <c r="R84" s="220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</row>
    <row r="85" spans="4:43" ht="20.25">
      <c r="D85" s="194"/>
      <c r="E85" s="194"/>
      <c r="F85" s="194"/>
      <c r="G85" s="194"/>
      <c r="H85" s="255"/>
      <c r="I85" s="204"/>
      <c r="J85" s="204"/>
      <c r="K85" s="204"/>
      <c r="L85" s="204"/>
      <c r="M85" s="216"/>
      <c r="N85" s="220"/>
      <c r="O85" s="220"/>
      <c r="P85" s="220"/>
      <c r="Q85" s="220"/>
      <c r="R85" s="220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  <c r="AI85" s="194"/>
      <c r="AJ85" s="194"/>
      <c r="AK85" s="194"/>
      <c r="AL85" s="194"/>
      <c r="AM85" s="194"/>
      <c r="AN85" s="194"/>
      <c r="AO85" s="194"/>
      <c r="AP85" s="194"/>
      <c r="AQ85" s="194"/>
    </row>
    <row r="86" spans="4:43" ht="20.25">
      <c r="D86" s="194"/>
      <c r="E86" s="194"/>
      <c r="F86" s="194"/>
      <c r="G86" s="194"/>
      <c r="H86" s="255"/>
      <c r="I86" s="204"/>
      <c r="J86" s="204"/>
      <c r="K86" s="204"/>
      <c r="L86" s="204"/>
      <c r="M86" s="216"/>
      <c r="N86" s="220"/>
      <c r="O86" s="220"/>
      <c r="P86" s="220"/>
      <c r="Q86" s="220"/>
      <c r="R86" s="220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  <c r="AI86" s="194"/>
      <c r="AJ86" s="194"/>
      <c r="AK86" s="194"/>
      <c r="AL86" s="194"/>
      <c r="AM86" s="194"/>
      <c r="AN86" s="194"/>
      <c r="AO86" s="194"/>
      <c r="AP86" s="194"/>
      <c r="AQ86" s="194"/>
    </row>
    <row r="87" spans="4:43" ht="20.25">
      <c r="D87" s="194"/>
      <c r="E87" s="194"/>
      <c r="F87" s="194"/>
      <c r="G87" s="194"/>
      <c r="H87" s="255"/>
      <c r="I87" s="204"/>
      <c r="J87" s="204"/>
      <c r="K87" s="204"/>
      <c r="L87" s="204"/>
      <c r="M87" s="216"/>
      <c r="N87" s="220"/>
      <c r="O87" s="220"/>
      <c r="P87" s="220"/>
      <c r="Q87" s="220"/>
      <c r="R87" s="220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  <c r="AI87" s="194"/>
      <c r="AJ87" s="194"/>
      <c r="AK87" s="194"/>
      <c r="AL87" s="194"/>
      <c r="AM87" s="194"/>
      <c r="AN87" s="194"/>
      <c r="AO87" s="194"/>
      <c r="AP87" s="194"/>
      <c r="AQ87" s="194"/>
    </row>
    <row r="88" spans="4:43" ht="20.25">
      <c r="D88" s="194"/>
      <c r="E88" s="194"/>
      <c r="F88" s="194"/>
      <c r="G88" s="194"/>
      <c r="H88" s="255"/>
      <c r="I88" s="204"/>
      <c r="J88" s="204"/>
      <c r="K88" s="204"/>
      <c r="L88" s="204"/>
      <c r="M88" s="216"/>
      <c r="N88" s="220"/>
      <c r="O88" s="220"/>
      <c r="P88" s="220"/>
      <c r="Q88" s="220"/>
      <c r="R88" s="220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  <c r="AI88" s="194"/>
      <c r="AJ88" s="194"/>
      <c r="AK88" s="194"/>
      <c r="AL88" s="194"/>
      <c r="AM88" s="194"/>
      <c r="AN88" s="194"/>
      <c r="AO88" s="194"/>
      <c r="AP88" s="194"/>
      <c r="AQ88" s="194"/>
    </row>
    <row r="89" spans="4:43" ht="20.25">
      <c r="D89" s="194"/>
      <c r="E89" s="194"/>
      <c r="F89" s="194"/>
      <c r="G89" s="194"/>
      <c r="H89" s="255"/>
      <c r="I89" s="204"/>
      <c r="J89" s="204"/>
      <c r="K89" s="204"/>
      <c r="L89" s="204"/>
      <c r="M89" s="216"/>
      <c r="N89" s="220"/>
      <c r="O89" s="220"/>
      <c r="P89" s="220"/>
      <c r="Q89" s="220"/>
      <c r="R89" s="220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  <c r="AI89" s="194"/>
      <c r="AJ89" s="194"/>
      <c r="AK89" s="194"/>
      <c r="AL89" s="194"/>
      <c r="AM89" s="194"/>
      <c r="AN89" s="194"/>
      <c r="AO89" s="194"/>
      <c r="AP89" s="194"/>
      <c r="AQ89" s="194"/>
    </row>
    <row r="90" spans="4:43" ht="20.25">
      <c r="D90" s="194"/>
      <c r="E90" s="194"/>
      <c r="F90" s="194"/>
      <c r="G90" s="194"/>
      <c r="H90" s="255"/>
      <c r="I90" s="204"/>
      <c r="J90" s="204"/>
      <c r="K90" s="204"/>
      <c r="L90" s="204"/>
      <c r="M90" s="216"/>
      <c r="N90" s="220"/>
      <c r="O90" s="220"/>
      <c r="P90" s="220"/>
      <c r="Q90" s="220"/>
      <c r="R90" s="220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  <c r="AI90" s="194"/>
      <c r="AJ90" s="194"/>
      <c r="AK90" s="194"/>
      <c r="AL90" s="194"/>
      <c r="AM90" s="194"/>
      <c r="AN90" s="194"/>
      <c r="AO90" s="194"/>
      <c r="AP90" s="194"/>
      <c r="AQ90" s="194"/>
    </row>
    <row r="91" spans="4:43" ht="20.25">
      <c r="D91" s="194"/>
      <c r="E91" s="194"/>
      <c r="F91" s="194"/>
      <c r="G91" s="194"/>
      <c r="H91" s="255"/>
      <c r="I91" s="204"/>
      <c r="J91" s="204"/>
      <c r="K91" s="204"/>
      <c r="L91" s="204"/>
      <c r="M91" s="216"/>
      <c r="N91" s="220"/>
      <c r="O91" s="220"/>
      <c r="P91" s="220"/>
      <c r="Q91" s="220"/>
      <c r="R91" s="220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  <c r="AI91" s="194"/>
      <c r="AJ91" s="194"/>
      <c r="AK91" s="194"/>
      <c r="AL91" s="194"/>
      <c r="AM91" s="194"/>
      <c r="AN91" s="194"/>
      <c r="AO91" s="194"/>
      <c r="AP91" s="194"/>
      <c r="AQ91" s="194"/>
    </row>
    <row r="92" spans="4:43" ht="20.25">
      <c r="D92" s="194"/>
      <c r="E92" s="194"/>
      <c r="F92" s="194"/>
      <c r="G92" s="194"/>
      <c r="H92" s="255"/>
      <c r="I92" s="204"/>
      <c r="J92" s="204"/>
      <c r="K92" s="204"/>
      <c r="L92" s="204"/>
      <c r="M92" s="216"/>
      <c r="N92" s="220"/>
      <c r="O92" s="220"/>
      <c r="P92" s="220"/>
      <c r="Q92" s="220"/>
      <c r="R92" s="220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  <c r="AI92" s="194"/>
      <c r="AJ92" s="194"/>
      <c r="AK92" s="194"/>
      <c r="AL92" s="194"/>
      <c r="AM92" s="194"/>
      <c r="AN92" s="194"/>
      <c r="AO92" s="194"/>
      <c r="AP92" s="194"/>
      <c r="AQ92" s="194"/>
    </row>
    <row r="93" spans="4:43" ht="20.25">
      <c r="D93" s="194"/>
      <c r="E93" s="194"/>
      <c r="F93" s="194"/>
      <c r="G93" s="194"/>
      <c r="H93" s="255"/>
      <c r="I93" s="204"/>
      <c r="J93" s="204"/>
      <c r="K93" s="204"/>
      <c r="L93" s="204"/>
      <c r="M93" s="216"/>
      <c r="N93" s="220"/>
      <c r="O93" s="220"/>
      <c r="P93" s="220"/>
      <c r="Q93" s="220"/>
      <c r="R93" s="220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  <c r="AI93" s="194"/>
      <c r="AJ93" s="194"/>
      <c r="AK93" s="194"/>
      <c r="AL93" s="194"/>
      <c r="AM93" s="194"/>
      <c r="AN93" s="194"/>
      <c r="AO93" s="194"/>
      <c r="AP93" s="194"/>
      <c r="AQ93" s="194"/>
    </row>
    <row r="94" spans="4:43" ht="20.25">
      <c r="D94" s="194"/>
      <c r="E94" s="194"/>
      <c r="F94" s="194"/>
      <c r="G94" s="194"/>
      <c r="H94" s="255"/>
      <c r="I94" s="204"/>
      <c r="J94" s="204"/>
      <c r="K94" s="204"/>
      <c r="L94" s="204"/>
      <c r="M94" s="216"/>
      <c r="N94" s="220"/>
      <c r="O94" s="220"/>
      <c r="P94" s="220"/>
      <c r="Q94" s="220"/>
      <c r="R94" s="220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  <c r="AI94" s="194"/>
      <c r="AJ94" s="194"/>
      <c r="AK94" s="194"/>
      <c r="AL94" s="194"/>
      <c r="AM94" s="194"/>
      <c r="AN94" s="194"/>
      <c r="AO94" s="194"/>
      <c r="AP94" s="194"/>
      <c r="AQ94" s="194"/>
    </row>
    <row r="95" spans="4:43" ht="20.25">
      <c r="D95" s="194"/>
      <c r="E95" s="194"/>
      <c r="F95" s="194"/>
      <c r="G95" s="194"/>
      <c r="H95" s="255"/>
      <c r="I95" s="204"/>
      <c r="J95" s="204"/>
      <c r="K95" s="204"/>
      <c r="L95" s="204"/>
      <c r="M95" s="216"/>
      <c r="N95" s="220"/>
      <c r="O95" s="220"/>
      <c r="P95" s="220"/>
      <c r="Q95" s="220"/>
      <c r="R95" s="220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  <c r="AI95" s="194"/>
      <c r="AJ95" s="194"/>
      <c r="AK95" s="194"/>
      <c r="AL95" s="194"/>
      <c r="AM95" s="194"/>
      <c r="AN95" s="194"/>
      <c r="AO95" s="194"/>
      <c r="AP95" s="194"/>
      <c r="AQ95" s="194"/>
    </row>
    <row r="96" spans="4:43" ht="20.25">
      <c r="D96" s="194"/>
      <c r="E96" s="194"/>
      <c r="F96" s="194"/>
      <c r="G96" s="194"/>
      <c r="H96" s="255"/>
      <c r="I96" s="204"/>
      <c r="J96" s="204"/>
      <c r="K96" s="204"/>
      <c r="L96" s="204"/>
      <c r="M96" s="216"/>
      <c r="N96" s="220"/>
      <c r="O96" s="220"/>
      <c r="P96" s="220"/>
      <c r="Q96" s="220"/>
      <c r="R96" s="220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  <c r="AI96" s="194"/>
      <c r="AJ96" s="194"/>
      <c r="AK96" s="194"/>
      <c r="AL96" s="194"/>
      <c r="AM96" s="194"/>
      <c r="AN96" s="194"/>
      <c r="AO96" s="194"/>
      <c r="AP96" s="194"/>
      <c r="AQ96" s="194"/>
    </row>
    <row r="97" spans="4:43" ht="20.25">
      <c r="D97" s="194"/>
      <c r="E97" s="194"/>
      <c r="F97" s="194"/>
      <c r="G97" s="194"/>
      <c r="H97" s="255"/>
      <c r="I97" s="204"/>
      <c r="J97" s="204"/>
      <c r="K97" s="204"/>
      <c r="L97" s="204"/>
      <c r="M97" s="216"/>
      <c r="N97" s="220"/>
      <c r="O97" s="220"/>
      <c r="P97" s="220"/>
      <c r="Q97" s="220"/>
      <c r="R97" s="220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  <c r="AI97" s="194"/>
      <c r="AJ97" s="194"/>
      <c r="AK97" s="194"/>
      <c r="AL97" s="194"/>
      <c r="AM97" s="194"/>
      <c r="AN97" s="194"/>
      <c r="AO97" s="194"/>
      <c r="AP97" s="194"/>
      <c r="AQ97" s="194"/>
    </row>
    <row r="98" spans="4:43" ht="20.25">
      <c r="D98" s="194"/>
      <c r="E98" s="194"/>
      <c r="F98" s="194"/>
      <c r="G98" s="194"/>
      <c r="H98" s="255"/>
      <c r="I98" s="204"/>
      <c r="J98" s="204"/>
      <c r="K98" s="204"/>
      <c r="L98" s="204"/>
      <c r="M98" s="216"/>
      <c r="N98" s="220"/>
      <c r="O98" s="220"/>
      <c r="P98" s="220"/>
      <c r="Q98" s="220"/>
      <c r="R98" s="220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  <c r="AI98" s="194"/>
      <c r="AJ98" s="194"/>
      <c r="AK98" s="194"/>
      <c r="AL98" s="194"/>
      <c r="AM98" s="194"/>
      <c r="AN98" s="194"/>
      <c r="AO98" s="194"/>
      <c r="AP98" s="194"/>
      <c r="AQ98" s="194"/>
    </row>
    <row r="99" spans="4:43" ht="20.25">
      <c r="D99" s="194"/>
      <c r="E99" s="194"/>
      <c r="F99" s="194"/>
      <c r="G99" s="194"/>
      <c r="H99" s="255"/>
      <c r="I99" s="204"/>
      <c r="J99" s="204"/>
      <c r="K99" s="204"/>
      <c r="L99" s="204"/>
      <c r="M99" s="216"/>
      <c r="N99" s="220"/>
      <c r="O99" s="220"/>
      <c r="P99" s="220"/>
      <c r="Q99" s="220"/>
      <c r="R99" s="220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  <c r="AI99" s="194"/>
      <c r="AJ99" s="194"/>
      <c r="AK99" s="194"/>
      <c r="AL99" s="194"/>
      <c r="AM99" s="194"/>
      <c r="AN99" s="194"/>
      <c r="AO99" s="194"/>
      <c r="AP99" s="194"/>
      <c r="AQ99" s="194"/>
    </row>
    <row r="100" spans="4:43" ht="20.25">
      <c r="D100" s="194"/>
      <c r="E100" s="194"/>
      <c r="F100" s="194"/>
      <c r="G100" s="194"/>
      <c r="H100" s="255"/>
      <c r="I100" s="204"/>
      <c r="J100" s="204"/>
      <c r="K100" s="204"/>
      <c r="L100" s="204"/>
      <c r="M100" s="216"/>
      <c r="N100" s="220"/>
      <c r="O100" s="220"/>
      <c r="P100" s="220"/>
      <c r="Q100" s="220"/>
      <c r="R100" s="220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  <c r="AI100" s="194"/>
      <c r="AJ100" s="194"/>
      <c r="AK100" s="194"/>
      <c r="AL100" s="194"/>
      <c r="AM100" s="194"/>
      <c r="AN100" s="194"/>
      <c r="AO100" s="194"/>
      <c r="AP100" s="194"/>
      <c r="AQ100" s="194"/>
    </row>
    <row r="101" spans="4:43" ht="20.25">
      <c r="D101" s="194"/>
      <c r="E101" s="194"/>
      <c r="F101" s="194"/>
      <c r="G101" s="194"/>
      <c r="H101" s="255"/>
      <c r="I101" s="204"/>
      <c r="J101" s="204"/>
      <c r="K101" s="204"/>
      <c r="L101" s="204"/>
      <c r="M101" s="216"/>
      <c r="N101" s="220"/>
      <c r="O101" s="220"/>
      <c r="P101" s="220"/>
      <c r="Q101" s="220"/>
      <c r="R101" s="220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  <c r="AI101" s="194"/>
      <c r="AJ101" s="194"/>
      <c r="AK101" s="194"/>
      <c r="AL101" s="194"/>
      <c r="AM101" s="194"/>
      <c r="AN101" s="194"/>
      <c r="AO101" s="194"/>
      <c r="AP101" s="194"/>
      <c r="AQ101" s="194"/>
    </row>
    <row r="102" spans="4:43" ht="20.25">
      <c r="D102" s="194"/>
      <c r="E102" s="194"/>
      <c r="F102" s="194"/>
      <c r="G102" s="194"/>
      <c r="H102" s="255"/>
      <c r="I102" s="204"/>
      <c r="J102" s="204"/>
      <c r="K102" s="204"/>
      <c r="L102" s="204"/>
      <c r="M102" s="216"/>
      <c r="N102" s="220"/>
      <c r="O102" s="220"/>
      <c r="P102" s="220"/>
      <c r="Q102" s="220"/>
      <c r="R102" s="220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  <c r="AI102" s="194"/>
      <c r="AJ102" s="194"/>
      <c r="AK102" s="194"/>
      <c r="AL102" s="194"/>
      <c r="AM102" s="194"/>
      <c r="AN102" s="194"/>
      <c r="AO102" s="194"/>
      <c r="AP102" s="194"/>
      <c r="AQ102" s="194"/>
    </row>
    <row r="103" spans="4:43" ht="20.25">
      <c r="D103" s="194"/>
      <c r="E103" s="194"/>
      <c r="F103" s="194"/>
      <c r="G103" s="194"/>
      <c r="H103" s="255"/>
      <c r="I103" s="204"/>
      <c r="J103" s="204"/>
      <c r="K103" s="204"/>
      <c r="L103" s="204"/>
      <c r="M103" s="216"/>
      <c r="N103" s="220"/>
      <c r="O103" s="220"/>
      <c r="P103" s="220"/>
      <c r="Q103" s="220"/>
      <c r="R103" s="220"/>
      <c r="S103" s="194"/>
      <c r="T103" s="194"/>
      <c r="U103" s="194"/>
      <c r="V103" s="194"/>
      <c r="W103" s="194"/>
      <c r="X103" s="194"/>
      <c r="Y103" s="194"/>
      <c r="Z103" s="194"/>
      <c r="AA103" s="194"/>
      <c r="AB103" s="194"/>
      <c r="AC103" s="194"/>
      <c r="AD103" s="194"/>
      <c r="AE103" s="194"/>
      <c r="AF103" s="194"/>
      <c r="AG103" s="194"/>
      <c r="AH103" s="194"/>
      <c r="AI103" s="194"/>
      <c r="AJ103" s="194"/>
      <c r="AK103" s="194"/>
      <c r="AL103" s="194"/>
      <c r="AM103" s="194"/>
      <c r="AN103" s="194"/>
      <c r="AO103" s="194"/>
      <c r="AP103" s="194"/>
      <c r="AQ103" s="194"/>
    </row>
    <row r="104" spans="4:43" ht="20.25">
      <c r="D104" s="194"/>
      <c r="E104" s="194"/>
      <c r="F104" s="194"/>
      <c r="G104" s="194"/>
      <c r="H104" s="255"/>
      <c r="I104" s="204"/>
      <c r="J104" s="204"/>
      <c r="K104" s="204"/>
      <c r="L104" s="204"/>
      <c r="M104" s="216"/>
      <c r="N104" s="220"/>
      <c r="O104" s="220"/>
      <c r="P104" s="220"/>
      <c r="Q104" s="220"/>
      <c r="R104" s="220"/>
      <c r="S104" s="194"/>
      <c r="T104" s="194"/>
      <c r="U104" s="194"/>
      <c r="V104" s="194"/>
      <c r="W104" s="194"/>
      <c r="X104" s="194"/>
      <c r="Y104" s="194"/>
      <c r="Z104" s="194"/>
      <c r="AA104" s="194"/>
      <c r="AB104" s="194"/>
      <c r="AC104" s="194"/>
      <c r="AD104" s="194"/>
      <c r="AE104" s="194"/>
      <c r="AF104" s="194"/>
      <c r="AG104" s="194"/>
      <c r="AH104" s="194"/>
      <c r="AI104" s="194"/>
      <c r="AJ104" s="194"/>
      <c r="AK104" s="194"/>
      <c r="AL104" s="194"/>
      <c r="AM104" s="194"/>
      <c r="AN104" s="194"/>
      <c r="AO104" s="194"/>
      <c r="AP104" s="194"/>
      <c r="AQ104" s="194"/>
    </row>
    <row r="105" spans="4:43" ht="20.25">
      <c r="D105" s="194"/>
      <c r="E105" s="194"/>
      <c r="F105" s="194"/>
      <c r="G105" s="194"/>
      <c r="H105" s="255"/>
      <c r="I105" s="204"/>
      <c r="J105" s="204"/>
      <c r="K105" s="204"/>
      <c r="L105" s="204"/>
      <c r="M105" s="216"/>
      <c r="N105" s="220"/>
      <c r="O105" s="220"/>
      <c r="P105" s="220"/>
      <c r="Q105" s="220"/>
      <c r="R105" s="220"/>
      <c r="S105" s="194"/>
      <c r="T105" s="194"/>
      <c r="U105" s="194"/>
      <c r="V105" s="194"/>
      <c r="W105" s="194"/>
      <c r="X105" s="194"/>
      <c r="Y105" s="194"/>
      <c r="Z105" s="194"/>
      <c r="AA105" s="194"/>
      <c r="AB105" s="194"/>
      <c r="AC105" s="194"/>
      <c r="AD105" s="194"/>
      <c r="AE105" s="194"/>
      <c r="AF105" s="194"/>
      <c r="AG105" s="194"/>
      <c r="AH105" s="194"/>
      <c r="AI105" s="194"/>
      <c r="AJ105" s="194"/>
      <c r="AK105" s="194"/>
      <c r="AL105" s="194"/>
      <c r="AM105" s="194"/>
      <c r="AN105" s="194"/>
      <c r="AO105" s="194"/>
      <c r="AP105" s="194"/>
      <c r="AQ105" s="194"/>
    </row>
    <row r="106" spans="4:43" ht="20.25">
      <c r="D106" s="194"/>
      <c r="E106" s="194"/>
      <c r="F106" s="194"/>
      <c r="G106" s="194"/>
      <c r="H106" s="255"/>
      <c r="I106" s="204"/>
      <c r="J106" s="204"/>
      <c r="K106" s="204"/>
      <c r="L106" s="204"/>
      <c r="M106" s="216"/>
      <c r="N106" s="220"/>
      <c r="O106" s="220"/>
      <c r="P106" s="220"/>
      <c r="Q106" s="220"/>
      <c r="R106" s="220"/>
      <c r="S106" s="194"/>
      <c r="T106" s="194"/>
      <c r="U106" s="194"/>
      <c r="V106" s="194"/>
      <c r="W106" s="194"/>
      <c r="X106" s="194"/>
      <c r="Y106" s="194"/>
      <c r="Z106" s="194"/>
      <c r="AA106" s="194"/>
      <c r="AB106" s="194"/>
      <c r="AC106" s="194"/>
      <c r="AD106" s="194"/>
      <c r="AE106" s="194"/>
      <c r="AF106" s="194"/>
      <c r="AG106" s="194"/>
      <c r="AH106" s="194"/>
      <c r="AI106" s="194"/>
      <c r="AJ106" s="194"/>
      <c r="AK106" s="194"/>
      <c r="AL106" s="194"/>
      <c r="AM106" s="194"/>
      <c r="AN106" s="194"/>
      <c r="AO106" s="194"/>
      <c r="AP106" s="194"/>
      <c r="AQ106" s="194"/>
    </row>
    <row r="107" spans="4:43" ht="20.25">
      <c r="D107" s="194"/>
      <c r="E107" s="194"/>
      <c r="F107" s="194"/>
      <c r="G107" s="194"/>
      <c r="H107" s="255"/>
      <c r="I107" s="204"/>
      <c r="J107" s="204"/>
      <c r="K107" s="204"/>
      <c r="L107" s="204"/>
      <c r="M107" s="216"/>
      <c r="N107" s="220"/>
      <c r="O107" s="220"/>
      <c r="P107" s="220"/>
      <c r="Q107" s="220"/>
      <c r="R107" s="220"/>
      <c r="S107" s="194"/>
      <c r="T107" s="194"/>
      <c r="U107" s="194"/>
      <c r="V107" s="194"/>
      <c r="W107" s="194"/>
      <c r="X107" s="194"/>
      <c r="Y107" s="194"/>
      <c r="Z107" s="194"/>
      <c r="AA107" s="194"/>
      <c r="AB107" s="194"/>
      <c r="AC107" s="194"/>
      <c r="AD107" s="194"/>
      <c r="AE107" s="194"/>
      <c r="AF107" s="194"/>
      <c r="AG107" s="194"/>
      <c r="AH107" s="194"/>
      <c r="AI107" s="194"/>
      <c r="AJ107" s="194"/>
      <c r="AK107" s="194"/>
      <c r="AL107" s="194"/>
      <c r="AM107" s="194"/>
      <c r="AN107" s="194"/>
      <c r="AO107" s="194"/>
      <c r="AP107" s="194"/>
      <c r="AQ107" s="194"/>
    </row>
    <row r="108" spans="4:43" ht="20.25">
      <c r="D108" s="194"/>
      <c r="E108" s="194"/>
      <c r="F108" s="194"/>
      <c r="G108" s="194"/>
      <c r="H108" s="255"/>
      <c r="I108" s="204"/>
      <c r="J108" s="204"/>
      <c r="K108" s="204"/>
      <c r="L108" s="204"/>
      <c r="M108" s="216"/>
      <c r="N108" s="220"/>
      <c r="O108" s="220"/>
      <c r="P108" s="220"/>
      <c r="Q108" s="220"/>
      <c r="R108" s="220"/>
      <c r="S108" s="194"/>
      <c r="T108" s="194"/>
      <c r="U108" s="194"/>
      <c r="V108" s="194"/>
      <c r="W108" s="194"/>
      <c r="X108" s="194"/>
      <c r="Y108" s="194"/>
      <c r="Z108" s="194"/>
      <c r="AA108" s="194"/>
      <c r="AB108" s="194"/>
      <c r="AC108" s="194"/>
      <c r="AD108" s="194"/>
      <c r="AE108" s="194"/>
      <c r="AF108" s="194"/>
      <c r="AG108" s="194"/>
      <c r="AH108" s="194"/>
      <c r="AI108" s="194"/>
      <c r="AJ108" s="194"/>
      <c r="AK108" s="194"/>
      <c r="AL108" s="194"/>
      <c r="AM108" s="194"/>
      <c r="AN108" s="194"/>
      <c r="AO108" s="194"/>
      <c r="AP108" s="194"/>
      <c r="AQ108" s="194"/>
    </row>
    <row r="109" spans="4:43" ht="20.25">
      <c r="D109" s="194"/>
      <c r="E109" s="194"/>
      <c r="F109" s="194"/>
      <c r="G109" s="194"/>
      <c r="H109" s="255"/>
      <c r="I109" s="204"/>
      <c r="J109" s="204"/>
      <c r="K109" s="204"/>
      <c r="L109" s="204"/>
      <c r="M109" s="216"/>
      <c r="N109" s="220"/>
      <c r="O109" s="220"/>
      <c r="P109" s="220"/>
      <c r="Q109" s="220"/>
      <c r="R109" s="220"/>
      <c r="S109" s="194"/>
      <c r="T109" s="194"/>
      <c r="U109" s="194"/>
      <c r="V109" s="194"/>
      <c r="W109" s="194"/>
      <c r="X109" s="194"/>
      <c r="Y109" s="194"/>
      <c r="Z109" s="194"/>
      <c r="AA109" s="194"/>
      <c r="AB109" s="194"/>
      <c r="AC109" s="194"/>
      <c r="AD109" s="194"/>
      <c r="AE109" s="194"/>
      <c r="AF109" s="194"/>
      <c r="AG109" s="194"/>
      <c r="AH109" s="194"/>
      <c r="AI109" s="194"/>
      <c r="AJ109" s="194"/>
      <c r="AK109" s="194"/>
      <c r="AL109" s="194"/>
      <c r="AM109" s="194"/>
      <c r="AN109" s="194"/>
      <c r="AO109" s="194"/>
      <c r="AP109" s="194"/>
      <c r="AQ109" s="194"/>
    </row>
    <row r="110" spans="4:43" ht="20.25">
      <c r="D110" s="194"/>
      <c r="E110" s="194"/>
      <c r="F110" s="194"/>
      <c r="G110" s="194"/>
      <c r="H110" s="255"/>
      <c r="I110" s="204"/>
      <c r="J110" s="204"/>
      <c r="K110" s="204"/>
      <c r="L110" s="204"/>
      <c r="M110" s="216"/>
      <c r="N110" s="220"/>
      <c r="O110" s="220"/>
      <c r="P110" s="220"/>
      <c r="Q110" s="220"/>
      <c r="R110" s="220"/>
      <c r="S110" s="194"/>
      <c r="T110" s="194"/>
      <c r="U110" s="194"/>
      <c r="V110" s="194"/>
      <c r="W110" s="194"/>
      <c r="X110" s="194"/>
      <c r="Y110" s="194"/>
      <c r="Z110" s="194"/>
      <c r="AA110" s="194"/>
      <c r="AB110" s="194"/>
      <c r="AC110" s="194"/>
      <c r="AD110" s="194"/>
      <c r="AE110" s="194"/>
      <c r="AF110" s="194"/>
      <c r="AG110" s="194"/>
      <c r="AH110" s="194"/>
      <c r="AI110" s="194"/>
      <c r="AJ110" s="194"/>
      <c r="AK110" s="194"/>
      <c r="AL110" s="194"/>
      <c r="AM110" s="194"/>
      <c r="AN110" s="194"/>
      <c r="AO110" s="194"/>
      <c r="AP110" s="194"/>
      <c r="AQ110" s="194"/>
    </row>
    <row r="111" spans="4:43" ht="20.25">
      <c r="D111" s="194"/>
      <c r="E111" s="194"/>
      <c r="F111" s="194"/>
      <c r="G111" s="194"/>
      <c r="H111" s="255"/>
      <c r="I111" s="204"/>
      <c r="J111" s="204"/>
      <c r="K111" s="204"/>
      <c r="L111" s="204"/>
      <c r="M111" s="216"/>
      <c r="N111" s="220"/>
      <c r="O111" s="220"/>
      <c r="P111" s="220"/>
      <c r="Q111" s="220"/>
      <c r="R111" s="220"/>
      <c r="S111" s="194"/>
      <c r="T111" s="194"/>
      <c r="U111" s="194"/>
      <c r="V111" s="194"/>
      <c r="W111" s="194"/>
      <c r="X111" s="194"/>
      <c r="Y111" s="194"/>
      <c r="Z111" s="194"/>
      <c r="AA111" s="194"/>
      <c r="AB111" s="194"/>
      <c r="AC111" s="194"/>
      <c r="AD111" s="194"/>
      <c r="AE111" s="194"/>
      <c r="AF111" s="194"/>
      <c r="AG111" s="194"/>
      <c r="AH111" s="194"/>
      <c r="AI111" s="194"/>
      <c r="AJ111" s="194"/>
      <c r="AK111" s="194"/>
      <c r="AL111" s="194"/>
      <c r="AM111" s="194"/>
      <c r="AN111" s="194"/>
      <c r="AO111" s="194"/>
      <c r="AP111" s="194"/>
      <c r="AQ111" s="194"/>
    </row>
    <row r="112" spans="4:43" ht="20.25">
      <c r="D112" s="194"/>
      <c r="E112" s="194"/>
      <c r="F112" s="194"/>
      <c r="G112" s="194"/>
      <c r="H112" s="255"/>
      <c r="I112" s="204"/>
      <c r="J112" s="204"/>
      <c r="K112" s="204"/>
      <c r="L112" s="204"/>
      <c r="M112" s="216"/>
      <c r="N112" s="220"/>
      <c r="O112" s="220"/>
      <c r="P112" s="220"/>
      <c r="Q112" s="220"/>
      <c r="R112" s="220"/>
      <c r="S112" s="194"/>
      <c r="T112" s="194"/>
      <c r="U112" s="194"/>
      <c r="V112" s="194"/>
      <c r="W112" s="194"/>
      <c r="X112" s="194"/>
      <c r="Y112" s="194"/>
      <c r="Z112" s="194"/>
      <c r="AA112" s="194"/>
      <c r="AB112" s="194"/>
      <c r="AC112" s="194"/>
      <c r="AD112" s="194"/>
      <c r="AE112" s="194"/>
      <c r="AF112" s="194"/>
      <c r="AG112" s="194"/>
      <c r="AH112" s="194"/>
      <c r="AI112" s="194"/>
      <c r="AJ112" s="194"/>
      <c r="AK112" s="194"/>
      <c r="AL112" s="194"/>
      <c r="AM112" s="194"/>
      <c r="AN112" s="194"/>
      <c r="AO112" s="194"/>
      <c r="AP112" s="194"/>
      <c r="AQ112" s="194"/>
    </row>
    <row r="113" spans="4:43" ht="20.25">
      <c r="D113" s="194"/>
      <c r="E113" s="194"/>
      <c r="F113" s="194"/>
      <c r="G113" s="194"/>
      <c r="H113" s="255"/>
      <c r="I113" s="204"/>
      <c r="J113" s="204"/>
      <c r="K113" s="204"/>
      <c r="L113" s="204"/>
      <c r="M113" s="216"/>
      <c r="N113" s="220"/>
      <c r="O113" s="220"/>
      <c r="P113" s="220"/>
      <c r="Q113" s="220"/>
      <c r="R113" s="220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  <c r="AI113" s="194"/>
      <c r="AJ113" s="194"/>
      <c r="AK113" s="194"/>
      <c r="AL113" s="194"/>
      <c r="AM113" s="194"/>
      <c r="AN113" s="194"/>
      <c r="AO113" s="194"/>
      <c r="AP113" s="194"/>
      <c r="AQ113" s="194"/>
    </row>
    <row r="114" spans="4:43" ht="20.25">
      <c r="D114" s="194"/>
      <c r="E114" s="194"/>
      <c r="F114" s="194"/>
      <c r="G114" s="194"/>
      <c r="H114" s="255"/>
      <c r="I114" s="204"/>
      <c r="J114" s="204"/>
      <c r="K114" s="204"/>
      <c r="L114" s="204"/>
      <c r="M114" s="216"/>
      <c r="N114" s="220"/>
      <c r="O114" s="220"/>
      <c r="P114" s="220"/>
      <c r="Q114" s="220"/>
      <c r="R114" s="220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94"/>
      <c r="AN114" s="194"/>
      <c r="AO114" s="194"/>
      <c r="AP114" s="194"/>
      <c r="AQ114" s="194"/>
    </row>
    <row r="115" spans="4:43" ht="20.25">
      <c r="D115" s="194"/>
      <c r="E115" s="194"/>
      <c r="F115" s="194"/>
      <c r="G115" s="194"/>
      <c r="H115" s="255"/>
      <c r="I115" s="204"/>
      <c r="J115" s="204"/>
      <c r="K115" s="204"/>
      <c r="L115" s="204"/>
      <c r="M115" s="216"/>
      <c r="N115" s="220"/>
      <c r="O115" s="220"/>
      <c r="P115" s="220"/>
      <c r="Q115" s="220"/>
      <c r="R115" s="220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94"/>
      <c r="AN115" s="194"/>
      <c r="AO115" s="194"/>
      <c r="AP115" s="194"/>
      <c r="AQ115" s="194"/>
    </row>
    <row r="116" spans="4:43" ht="20.25">
      <c r="D116" s="194"/>
      <c r="E116" s="194"/>
      <c r="F116" s="194"/>
      <c r="G116" s="194"/>
      <c r="H116" s="255"/>
      <c r="I116" s="204"/>
      <c r="J116" s="204"/>
      <c r="K116" s="204"/>
      <c r="L116" s="204"/>
      <c r="M116" s="216"/>
      <c r="N116" s="220"/>
      <c r="O116" s="220"/>
      <c r="P116" s="220"/>
      <c r="Q116" s="220"/>
      <c r="R116" s="220"/>
      <c r="S116" s="194"/>
      <c r="T116" s="194"/>
      <c r="U116" s="194"/>
      <c r="V116" s="194"/>
      <c r="W116" s="194"/>
      <c r="X116" s="194"/>
      <c r="Y116" s="194"/>
      <c r="Z116" s="194"/>
      <c r="AA116" s="194"/>
      <c r="AB116" s="194"/>
      <c r="AC116" s="194"/>
      <c r="AD116" s="194"/>
      <c r="AE116" s="194"/>
      <c r="AF116" s="194"/>
      <c r="AG116" s="194"/>
      <c r="AH116" s="194"/>
      <c r="AI116" s="194"/>
      <c r="AJ116" s="194"/>
      <c r="AK116" s="194"/>
      <c r="AL116" s="194"/>
      <c r="AM116" s="194"/>
      <c r="AN116" s="194"/>
      <c r="AO116" s="194"/>
      <c r="AP116" s="194"/>
      <c r="AQ116" s="194"/>
    </row>
    <row r="117" spans="4:43" ht="20.25">
      <c r="D117" s="194"/>
      <c r="E117" s="194"/>
      <c r="F117" s="194"/>
      <c r="G117" s="194"/>
      <c r="H117" s="255"/>
      <c r="I117" s="204"/>
      <c r="J117" s="204"/>
      <c r="K117" s="204"/>
      <c r="L117" s="204"/>
      <c r="M117" s="216"/>
      <c r="N117" s="220"/>
      <c r="O117" s="220"/>
      <c r="P117" s="220"/>
      <c r="Q117" s="220"/>
      <c r="R117" s="220"/>
      <c r="S117" s="194"/>
      <c r="T117" s="194"/>
      <c r="U117" s="194"/>
      <c r="V117" s="194"/>
      <c r="W117" s="194"/>
      <c r="X117" s="194"/>
      <c r="Y117" s="194"/>
      <c r="Z117" s="194"/>
      <c r="AA117" s="194"/>
      <c r="AB117" s="194"/>
      <c r="AC117" s="194"/>
      <c r="AD117" s="194"/>
      <c r="AE117" s="194"/>
      <c r="AF117" s="194"/>
      <c r="AG117" s="194"/>
      <c r="AH117" s="194"/>
      <c r="AI117" s="194"/>
      <c r="AJ117" s="194"/>
      <c r="AK117" s="194"/>
      <c r="AL117" s="194"/>
      <c r="AM117" s="194"/>
      <c r="AN117" s="194"/>
      <c r="AO117" s="194"/>
      <c r="AP117" s="194"/>
      <c r="AQ117" s="194"/>
    </row>
    <row r="118" spans="4:43" ht="20.25">
      <c r="D118" s="194"/>
      <c r="E118" s="194"/>
      <c r="F118" s="194"/>
      <c r="G118" s="194"/>
      <c r="H118" s="255"/>
      <c r="I118" s="204"/>
      <c r="J118" s="204"/>
      <c r="K118" s="204"/>
      <c r="L118" s="204"/>
      <c r="M118" s="216"/>
      <c r="N118" s="220"/>
      <c r="O118" s="220"/>
      <c r="P118" s="220"/>
      <c r="Q118" s="220"/>
      <c r="R118" s="220"/>
      <c r="S118" s="194"/>
      <c r="T118" s="194"/>
      <c r="U118" s="194"/>
      <c r="V118" s="194"/>
      <c r="W118" s="194"/>
      <c r="X118" s="194"/>
      <c r="Y118" s="194"/>
      <c r="Z118" s="194"/>
      <c r="AA118" s="194"/>
      <c r="AB118" s="194"/>
      <c r="AC118" s="194"/>
      <c r="AD118" s="194"/>
      <c r="AE118" s="194"/>
      <c r="AF118" s="194"/>
      <c r="AG118" s="194"/>
      <c r="AH118" s="194"/>
      <c r="AI118" s="194"/>
      <c r="AJ118" s="194"/>
      <c r="AK118" s="194"/>
      <c r="AL118" s="194"/>
      <c r="AM118" s="194"/>
      <c r="AN118" s="194"/>
      <c r="AO118" s="194"/>
      <c r="AP118" s="194"/>
      <c r="AQ118" s="194"/>
    </row>
    <row r="119" spans="4:43" ht="20.25">
      <c r="D119" s="194"/>
      <c r="E119" s="194"/>
      <c r="F119" s="194"/>
      <c r="G119" s="194"/>
      <c r="H119" s="255"/>
      <c r="I119" s="204"/>
      <c r="J119" s="204"/>
      <c r="K119" s="204"/>
      <c r="L119" s="204"/>
      <c r="M119" s="216"/>
      <c r="N119" s="220"/>
      <c r="O119" s="220"/>
      <c r="P119" s="220"/>
      <c r="Q119" s="220"/>
      <c r="R119" s="220"/>
      <c r="S119" s="194"/>
      <c r="T119" s="194"/>
      <c r="U119" s="194"/>
      <c r="V119" s="194"/>
      <c r="W119" s="194"/>
      <c r="X119" s="194"/>
      <c r="Y119" s="194"/>
      <c r="Z119" s="194"/>
      <c r="AA119" s="194"/>
      <c r="AB119" s="194"/>
      <c r="AC119" s="194"/>
      <c r="AD119" s="194"/>
      <c r="AE119" s="194"/>
      <c r="AF119" s="194"/>
      <c r="AG119" s="194"/>
      <c r="AH119" s="194"/>
      <c r="AI119" s="194"/>
      <c r="AJ119" s="194"/>
      <c r="AK119" s="194"/>
      <c r="AL119" s="194"/>
      <c r="AM119" s="194"/>
      <c r="AN119" s="194"/>
      <c r="AO119" s="194"/>
      <c r="AP119" s="194"/>
      <c r="AQ119" s="194"/>
    </row>
    <row r="120" spans="4:43" ht="20.25">
      <c r="D120" s="194"/>
      <c r="E120" s="194"/>
      <c r="F120" s="194"/>
      <c r="G120" s="194"/>
      <c r="H120" s="255"/>
      <c r="I120" s="204"/>
      <c r="J120" s="204"/>
      <c r="K120" s="204"/>
      <c r="L120" s="204"/>
      <c r="M120" s="216"/>
      <c r="N120" s="220"/>
      <c r="O120" s="220"/>
      <c r="P120" s="220"/>
      <c r="Q120" s="220"/>
      <c r="R120" s="220"/>
      <c r="S120" s="194"/>
      <c r="T120" s="194"/>
      <c r="U120" s="194"/>
      <c r="V120" s="194"/>
      <c r="W120" s="194"/>
      <c r="X120" s="194"/>
      <c r="Y120" s="194"/>
      <c r="Z120" s="194"/>
      <c r="AA120" s="194"/>
      <c r="AB120" s="194"/>
      <c r="AC120" s="194"/>
      <c r="AD120" s="194"/>
      <c r="AE120" s="194"/>
      <c r="AF120" s="194"/>
      <c r="AG120" s="194"/>
      <c r="AH120" s="194"/>
      <c r="AI120" s="194"/>
      <c r="AJ120" s="194"/>
      <c r="AK120" s="194"/>
      <c r="AL120" s="194"/>
      <c r="AM120" s="194"/>
      <c r="AN120" s="194"/>
      <c r="AO120" s="194"/>
      <c r="AP120" s="194"/>
      <c r="AQ120" s="194"/>
    </row>
    <row r="121" spans="4:43" ht="20.25">
      <c r="D121" s="194"/>
      <c r="E121" s="194"/>
      <c r="F121" s="194"/>
      <c r="G121" s="194"/>
      <c r="H121" s="255"/>
      <c r="I121" s="204"/>
      <c r="J121" s="204"/>
      <c r="K121" s="204"/>
      <c r="L121" s="204"/>
      <c r="M121" s="216"/>
      <c r="N121" s="220"/>
      <c r="O121" s="220"/>
      <c r="P121" s="220"/>
      <c r="Q121" s="220"/>
      <c r="R121" s="220"/>
      <c r="S121" s="194"/>
      <c r="T121" s="194"/>
      <c r="U121" s="194"/>
      <c r="V121" s="194"/>
      <c r="W121" s="194"/>
      <c r="X121" s="194"/>
      <c r="Y121" s="194"/>
      <c r="Z121" s="194"/>
      <c r="AA121" s="194"/>
      <c r="AB121" s="194"/>
      <c r="AC121" s="194"/>
      <c r="AD121" s="194"/>
      <c r="AE121" s="194"/>
      <c r="AF121" s="194"/>
      <c r="AG121" s="194"/>
      <c r="AH121" s="194"/>
      <c r="AI121" s="194"/>
      <c r="AJ121" s="194"/>
      <c r="AK121" s="194"/>
      <c r="AL121" s="194"/>
      <c r="AM121" s="194"/>
      <c r="AN121" s="194"/>
      <c r="AO121" s="194"/>
      <c r="AP121" s="194"/>
      <c r="AQ121" s="194"/>
    </row>
    <row r="122" spans="4:43" ht="20.25">
      <c r="D122" s="194"/>
      <c r="E122" s="194"/>
      <c r="F122" s="194"/>
      <c r="G122" s="194"/>
      <c r="H122" s="255"/>
      <c r="I122" s="204"/>
      <c r="J122" s="204"/>
      <c r="K122" s="204"/>
      <c r="L122" s="204"/>
      <c r="M122" s="216"/>
      <c r="N122" s="220"/>
      <c r="O122" s="220"/>
      <c r="P122" s="220"/>
      <c r="Q122" s="220"/>
      <c r="R122" s="220"/>
      <c r="S122" s="194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94"/>
      <c r="AM122" s="194"/>
      <c r="AN122" s="194"/>
      <c r="AO122" s="194"/>
      <c r="AP122" s="194"/>
      <c r="AQ122" s="194"/>
    </row>
    <row r="123" spans="4:43" ht="20.25">
      <c r="D123" s="194"/>
      <c r="E123" s="194"/>
      <c r="F123" s="194"/>
      <c r="G123" s="194"/>
      <c r="H123" s="255"/>
      <c r="I123" s="204"/>
      <c r="J123" s="204"/>
      <c r="K123" s="204"/>
      <c r="L123" s="204"/>
      <c r="M123" s="216"/>
      <c r="N123" s="220"/>
      <c r="O123" s="220"/>
      <c r="P123" s="220"/>
      <c r="Q123" s="220"/>
      <c r="R123" s="220"/>
      <c r="S123" s="194"/>
      <c r="T123" s="194"/>
      <c r="U123" s="194"/>
      <c r="V123" s="194"/>
      <c r="W123" s="194"/>
      <c r="X123" s="194"/>
      <c r="Y123" s="194"/>
      <c r="Z123" s="194"/>
      <c r="AA123" s="194"/>
      <c r="AB123" s="194"/>
      <c r="AC123" s="194"/>
      <c r="AD123" s="194"/>
      <c r="AE123" s="194"/>
      <c r="AF123" s="194"/>
      <c r="AG123" s="194"/>
      <c r="AH123" s="194"/>
      <c r="AI123" s="194"/>
      <c r="AJ123" s="194"/>
      <c r="AK123" s="194"/>
      <c r="AL123" s="194"/>
      <c r="AM123" s="194"/>
      <c r="AN123" s="194"/>
      <c r="AO123" s="194"/>
      <c r="AP123" s="194"/>
      <c r="AQ123" s="194"/>
    </row>
    <row r="124" spans="4:43" ht="20.25">
      <c r="D124" s="194"/>
      <c r="E124" s="194"/>
      <c r="F124" s="194"/>
      <c r="G124" s="194"/>
      <c r="H124" s="255"/>
      <c r="I124" s="204"/>
      <c r="J124" s="204"/>
      <c r="K124" s="204"/>
      <c r="L124" s="204"/>
      <c r="M124" s="216"/>
      <c r="N124" s="220"/>
      <c r="O124" s="220"/>
      <c r="P124" s="220"/>
      <c r="Q124" s="220"/>
      <c r="R124" s="220"/>
      <c r="S124" s="194"/>
      <c r="T124" s="194"/>
      <c r="U124" s="194"/>
      <c r="V124" s="194"/>
      <c r="W124" s="194"/>
      <c r="X124" s="194"/>
      <c r="Y124" s="194"/>
      <c r="Z124" s="194"/>
      <c r="AA124" s="194"/>
      <c r="AB124" s="194"/>
      <c r="AC124" s="194"/>
      <c r="AD124" s="194"/>
      <c r="AE124" s="194"/>
      <c r="AF124" s="194"/>
      <c r="AG124" s="194"/>
      <c r="AH124" s="194"/>
      <c r="AI124" s="194"/>
      <c r="AJ124" s="194"/>
      <c r="AK124" s="194"/>
      <c r="AL124" s="194"/>
      <c r="AM124" s="194"/>
      <c r="AN124" s="194"/>
      <c r="AO124" s="194"/>
      <c r="AP124" s="194"/>
      <c r="AQ124" s="194"/>
    </row>
    <row r="125" spans="4:43" ht="20.25">
      <c r="D125" s="194"/>
      <c r="E125" s="194"/>
      <c r="F125" s="194"/>
      <c r="G125" s="194"/>
      <c r="H125" s="255"/>
      <c r="I125" s="204"/>
      <c r="J125" s="204"/>
      <c r="K125" s="204"/>
      <c r="L125" s="204"/>
      <c r="M125" s="216"/>
      <c r="N125" s="220"/>
      <c r="O125" s="220"/>
      <c r="P125" s="220"/>
      <c r="Q125" s="220"/>
      <c r="R125" s="220"/>
      <c r="S125" s="194"/>
      <c r="T125" s="194"/>
      <c r="U125" s="194"/>
      <c r="V125" s="194"/>
      <c r="W125" s="194"/>
      <c r="X125" s="194"/>
      <c r="Y125" s="194"/>
      <c r="Z125" s="194"/>
      <c r="AA125" s="194"/>
      <c r="AB125" s="194"/>
      <c r="AC125" s="194"/>
      <c r="AD125" s="194"/>
      <c r="AE125" s="194"/>
      <c r="AF125" s="194"/>
      <c r="AG125" s="194"/>
      <c r="AH125" s="194"/>
      <c r="AI125" s="194"/>
      <c r="AJ125" s="194"/>
      <c r="AK125" s="194"/>
      <c r="AL125" s="194"/>
      <c r="AM125" s="194"/>
      <c r="AN125" s="194"/>
      <c r="AO125" s="194"/>
      <c r="AP125" s="194"/>
      <c r="AQ125" s="194"/>
    </row>
    <row r="126" spans="4:43" ht="20.25">
      <c r="D126" s="194"/>
      <c r="E126" s="194"/>
      <c r="F126" s="194"/>
      <c r="G126" s="194"/>
      <c r="H126" s="255"/>
      <c r="I126" s="204"/>
      <c r="J126" s="204"/>
      <c r="K126" s="204"/>
      <c r="L126" s="204"/>
      <c r="M126" s="216"/>
      <c r="N126" s="220"/>
      <c r="O126" s="220"/>
      <c r="P126" s="220"/>
      <c r="Q126" s="220"/>
      <c r="R126" s="220"/>
      <c r="S126" s="194"/>
      <c r="T126" s="194"/>
      <c r="U126" s="194"/>
      <c r="V126" s="194"/>
      <c r="W126" s="194"/>
      <c r="X126" s="194"/>
      <c r="Y126" s="194"/>
      <c r="Z126" s="194"/>
      <c r="AA126" s="194"/>
      <c r="AB126" s="194"/>
      <c r="AC126" s="194"/>
      <c r="AD126" s="194"/>
      <c r="AE126" s="194"/>
      <c r="AF126" s="194"/>
      <c r="AG126" s="194"/>
      <c r="AH126" s="194"/>
      <c r="AI126" s="194"/>
      <c r="AJ126" s="194"/>
      <c r="AK126" s="194"/>
      <c r="AL126" s="194"/>
      <c r="AM126" s="194"/>
      <c r="AN126" s="194"/>
      <c r="AO126" s="194"/>
      <c r="AP126" s="194"/>
      <c r="AQ126" s="194"/>
    </row>
    <row r="127" spans="4:43" ht="20.25">
      <c r="D127" s="194"/>
      <c r="E127" s="194"/>
      <c r="F127" s="194"/>
      <c r="G127" s="194"/>
      <c r="H127" s="255"/>
      <c r="I127" s="204"/>
      <c r="J127" s="204"/>
      <c r="K127" s="204"/>
      <c r="L127" s="204"/>
      <c r="M127" s="216"/>
      <c r="N127" s="220"/>
      <c r="O127" s="220"/>
      <c r="P127" s="220"/>
      <c r="Q127" s="220"/>
      <c r="R127" s="220"/>
      <c r="S127" s="194"/>
      <c r="T127" s="194"/>
      <c r="U127" s="194"/>
      <c r="V127" s="194"/>
      <c r="W127" s="194"/>
      <c r="X127" s="194"/>
      <c r="Y127" s="194"/>
      <c r="Z127" s="194"/>
      <c r="AA127" s="194"/>
      <c r="AB127" s="194"/>
      <c r="AC127" s="194"/>
      <c r="AD127" s="194"/>
      <c r="AE127" s="194"/>
      <c r="AF127" s="194"/>
      <c r="AG127" s="194"/>
      <c r="AH127" s="194"/>
      <c r="AI127" s="194"/>
      <c r="AJ127" s="194"/>
      <c r="AK127" s="194"/>
      <c r="AL127" s="194"/>
      <c r="AM127" s="194"/>
      <c r="AN127" s="194"/>
      <c r="AO127" s="194"/>
      <c r="AP127" s="194"/>
      <c r="AQ127" s="194"/>
    </row>
    <row r="128" spans="4:43" ht="20.25">
      <c r="D128" s="194"/>
      <c r="E128" s="194"/>
      <c r="F128" s="194"/>
      <c r="G128" s="194"/>
      <c r="H128" s="255"/>
      <c r="I128" s="204"/>
      <c r="J128" s="204"/>
      <c r="K128" s="204"/>
      <c r="L128" s="204"/>
      <c r="M128" s="216"/>
      <c r="N128" s="220"/>
      <c r="O128" s="220"/>
      <c r="P128" s="220"/>
      <c r="Q128" s="220"/>
      <c r="R128" s="220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4"/>
      <c r="AJ128" s="194"/>
      <c r="AK128" s="194"/>
      <c r="AL128" s="194"/>
      <c r="AM128" s="194"/>
      <c r="AN128" s="194"/>
      <c r="AO128" s="194"/>
      <c r="AP128" s="194"/>
      <c r="AQ128" s="194"/>
    </row>
    <row r="129" spans="4:43" ht="20.25">
      <c r="D129" s="194"/>
      <c r="E129" s="194"/>
      <c r="F129" s="194"/>
      <c r="G129" s="194"/>
      <c r="H129" s="255"/>
      <c r="I129" s="204"/>
      <c r="J129" s="204"/>
      <c r="K129" s="204"/>
      <c r="L129" s="204"/>
      <c r="M129" s="216"/>
      <c r="N129" s="220"/>
      <c r="O129" s="220"/>
      <c r="P129" s="220"/>
      <c r="Q129" s="220"/>
      <c r="R129" s="220"/>
      <c r="S129" s="194"/>
      <c r="T129" s="194"/>
      <c r="U129" s="194"/>
      <c r="V129" s="194"/>
      <c r="W129" s="194"/>
      <c r="X129" s="194"/>
      <c r="Y129" s="194"/>
      <c r="Z129" s="194"/>
      <c r="AA129" s="194"/>
      <c r="AB129" s="194"/>
      <c r="AC129" s="194"/>
      <c r="AD129" s="194"/>
      <c r="AE129" s="194"/>
      <c r="AF129" s="194"/>
      <c r="AG129" s="194"/>
      <c r="AH129" s="194"/>
      <c r="AI129" s="194"/>
      <c r="AJ129" s="194"/>
      <c r="AK129" s="194"/>
      <c r="AL129" s="194"/>
      <c r="AM129" s="194"/>
      <c r="AN129" s="194"/>
      <c r="AO129" s="194"/>
      <c r="AP129" s="194"/>
      <c r="AQ129" s="194"/>
    </row>
    <row r="130" spans="4:43" ht="20.25">
      <c r="D130" s="194"/>
      <c r="E130" s="194"/>
      <c r="F130" s="194"/>
      <c r="G130" s="194"/>
      <c r="H130" s="255"/>
      <c r="I130" s="204"/>
      <c r="J130" s="204"/>
      <c r="K130" s="204"/>
      <c r="L130" s="204"/>
      <c r="M130" s="216"/>
      <c r="N130" s="220"/>
      <c r="O130" s="220"/>
      <c r="P130" s="220"/>
      <c r="Q130" s="220"/>
      <c r="R130" s="220"/>
      <c r="S130" s="194"/>
      <c r="T130" s="194"/>
      <c r="U130" s="194"/>
      <c r="V130" s="194"/>
      <c r="W130" s="194"/>
      <c r="X130" s="194"/>
      <c r="Y130" s="194"/>
      <c r="Z130" s="194"/>
      <c r="AA130" s="194"/>
      <c r="AB130" s="194"/>
      <c r="AC130" s="194"/>
      <c r="AD130" s="194"/>
      <c r="AE130" s="194"/>
      <c r="AF130" s="194"/>
      <c r="AG130" s="194"/>
      <c r="AH130" s="194"/>
      <c r="AI130" s="194"/>
      <c r="AJ130" s="194"/>
      <c r="AK130" s="194"/>
      <c r="AL130" s="194"/>
      <c r="AM130" s="194"/>
      <c r="AN130" s="194"/>
      <c r="AO130" s="194"/>
      <c r="AP130" s="194"/>
      <c r="AQ130" s="194"/>
    </row>
    <row r="131" spans="4:43" ht="20.25">
      <c r="D131" s="194"/>
      <c r="E131" s="194"/>
      <c r="F131" s="194"/>
      <c r="G131" s="194"/>
      <c r="H131" s="255"/>
      <c r="I131" s="204"/>
      <c r="J131" s="204"/>
      <c r="K131" s="204"/>
      <c r="L131" s="204"/>
      <c r="M131" s="216"/>
      <c r="N131" s="220"/>
      <c r="O131" s="220"/>
      <c r="P131" s="220"/>
      <c r="Q131" s="220"/>
      <c r="R131" s="220"/>
      <c r="S131" s="194"/>
      <c r="T131" s="194"/>
      <c r="U131" s="194"/>
      <c r="V131" s="194"/>
      <c r="W131" s="194"/>
      <c r="X131" s="194"/>
      <c r="Y131" s="194"/>
      <c r="Z131" s="194"/>
      <c r="AA131" s="194"/>
      <c r="AB131" s="194"/>
      <c r="AC131" s="194"/>
      <c r="AD131" s="194"/>
      <c r="AE131" s="194"/>
      <c r="AF131" s="194"/>
      <c r="AG131" s="194"/>
      <c r="AH131" s="194"/>
      <c r="AI131" s="194"/>
      <c r="AJ131" s="194"/>
      <c r="AK131" s="194"/>
      <c r="AL131" s="194"/>
      <c r="AM131" s="194"/>
      <c r="AN131" s="194"/>
      <c r="AO131" s="194"/>
      <c r="AP131" s="194"/>
      <c r="AQ131" s="194"/>
    </row>
    <row r="132" spans="4:43" ht="20.25">
      <c r="D132" s="194"/>
      <c r="E132" s="194"/>
      <c r="F132" s="194"/>
      <c r="G132" s="194"/>
      <c r="H132" s="255"/>
      <c r="I132" s="204"/>
      <c r="J132" s="204"/>
      <c r="K132" s="204"/>
      <c r="L132" s="204"/>
      <c r="M132" s="216"/>
      <c r="N132" s="220"/>
      <c r="O132" s="220"/>
      <c r="P132" s="220"/>
      <c r="Q132" s="220"/>
      <c r="R132" s="220"/>
      <c r="S132" s="194"/>
      <c r="T132" s="194"/>
      <c r="U132" s="194"/>
      <c r="V132" s="194"/>
      <c r="W132" s="194"/>
      <c r="X132" s="194"/>
      <c r="Y132" s="194"/>
      <c r="Z132" s="194"/>
      <c r="AA132" s="194"/>
      <c r="AB132" s="194"/>
      <c r="AC132" s="194"/>
      <c r="AD132" s="194"/>
      <c r="AE132" s="194"/>
      <c r="AF132" s="194"/>
      <c r="AG132" s="194"/>
      <c r="AH132" s="194"/>
      <c r="AI132" s="194"/>
      <c r="AJ132" s="194"/>
      <c r="AK132" s="194"/>
      <c r="AL132" s="194"/>
      <c r="AM132" s="194"/>
      <c r="AN132" s="194"/>
      <c r="AO132" s="194"/>
      <c r="AP132" s="194"/>
      <c r="AQ132" s="194"/>
    </row>
    <row r="133" spans="4:43" ht="20.25">
      <c r="D133" s="194"/>
      <c r="E133" s="194"/>
      <c r="F133" s="194"/>
      <c r="G133" s="194"/>
      <c r="H133" s="255"/>
      <c r="I133" s="204"/>
      <c r="J133" s="204"/>
      <c r="K133" s="204"/>
      <c r="L133" s="204"/>
      <c r="M133" s="216"/>
      <c r="N133" s="220"/>
      <c r="O133" s="220"/>
      <c r="P133" s="220"/>
      <c r="Q133" s="220"/>
      <c r="R133" s="220"/>
      <c r="S133" s="194"/>
      <c r="T133" s="194"/>
      <c r="U133" s="194"/>
      <c r="V133" s="194"/>
      <c r="W133" s="194"/>
      <c r="X133" s="194"/>
      <c r="Y133" s="194"/>
      <c r="Z133" s="194"/>
      <c r="AA133" s="194"/>
      <c r="AB133" s="194"/>
      <c r="AC133" s="194"/>
      <c r="AD133" s="194"/>
      <c r="AE133" s="194"/>
      <c r="AF133" s="194"/>
      <c r="AG133" s="194"/>
      <c r="AH133" s="194"/>
      <c r="AI133" s="194"/>
      <c r="AJ133" s="194"/>
      <c r="AK133" s="194"/>
      <c r="AL133" s="194"/>
      <c r="AM133" s="194"/>
      <c r="AN133" s="194"/>
      <c r="AO133" s="194"/>
      <c r="AP133" s="194"/>
      <c r="AQ133" s="194"/>
    </row>
    <row r="134" spans="4:43" ht="20.25">
      <c r="D134" s="194"/>
      <c r="E134" s="194"/>
      <c r="F134" s="194"/>
      <c r="G134" s="194"/>
      <c r="H134" s="255"/>
      <c r="I134" s="204"/>
      <c r="J134" s="204"/>
      <c r="K134" s="204"/>
      <c r="L134" s="204"/>
      <c r="M134" s="216"/>
      <c r="N134" s="220"/>
      <c r="O134" s="220"/>
      <c r="P134" s="220"/>
      <c r="Q134" s="220"/>
      <c r="R134" s="220"/>
      <c r="S134" s="194"/>
      <c r="T134" s="194"/>
      <c r="U134" s="194"/>
      <c r="V134" s="194"/>
      <c r="W134" s="194"/>
      <c r="X134" s="194"/>
      <c r="Y134" s="194"/>
      <c r="Z134" s="194"/>
      <c r="AA134" s="194"/>
      <c r="AB134" s="194"/>
      <c r="AC134" s="194"/>
      <c r="AD134" s="194"/>
      <c r="AE134" s="194"/>
      <c r="AF134" s="194"/>
      <c r="AG134" s="194"/>
      <c r="AH134" s="194"/>
      <c r="AI134" s="194"/>
      <c r="AJ134" s="194"/>
      <c r="AK134" s="194"/>
      <c r="AL134" s="194"/>
      <c r="AM134" s="194"/>
      <c r="AN134" s="194"/>
      <c r="AO134" s="194"/>
      <c r="AP134" s="194"/>
      <c r="AQ134" s="194"/>
    </row>
    <row r="135" spans="4:43" ht="20.25">
      <c r="D135" s="194"/>
      <c r="E135" s="194"/>
      <c r="F135" s="194"/>
      <c r="G135" s="194"/>
      <c r="H135" s="255"/>
      <c r="I135" s="204"/>
      <c r="J135" s="204"/>
      <c r="K135" s="204"/>
      <c r="L135" s="204"/>
      <c r="M135" s="216"/>
      <c r="N135" s="220"/>
      <c r="O135" s="220"/>
      <c r="P135" s="220"/>
      <c r="Q135" s="220"/>
      <c r="R135" s="220"/>
      <c r="S135" s="194"/>
      <c r="T135" s="194"/>
      <c r="U135" s="194"/>
      <c r="V135" s="194"/>
      <c r="W135" s="194"/>
      <c r="X135" s="194"/>
      <c r="Y135" s="194"/>
      <c r="Z135" s="194"/>
      <c r="AA135" s="194"/>
      <c r="AB135" s="194"/>
      <c r="AC135" s="194"/>
      <c r="AD135" s="194"/>
      <c r="AE135" s="194"/>
      <c r="AF135" s="194"/>
      <c r="AG135" s="194"/>
      <c r="AH135" s="194"/>
      <c r="AI135" s="194"/>
      <c r="AJ135" s="194"/>
      <c r="AK135" s="194"/>
      <c r="AL135" s="194"/>
      <c r="AM135" s="194"/>
      <c r="AN135" s="194"/>
      <c r="AO135" s="194"/>
      <c r="AP135" s="194"/>
      <c r="AQ135" s="194"/>
    </row>
    <row r="136" spans="4:43" ht="20.25">
      <c r="D136" s="194"/>
      <c r="E136" s="194"/>
      <c r="F136" s="194"/>
      <c r="G136" s="194"/>
      <c r="H136" s="255"/>
      <c r="I136" s="204"/>
      <c r="J136" s="204"/>
      <c r="K136" s="204"/>
      <c r="L136" s="204"/>
      <c r="M136" s="216"/>
      <c r="N136" s="220"/>
      <c r="O136" s="220"/>
      <c r="P136" s="220"/>
      <c r="Q136" s="220"/>
      <c r="R136" s="220"/>
      <c r="S136" s="194"/>
      <c r="T136" s="194"/>
      <c r="U136" s="194"/>
      <c r="V136" s="194"/>
      <c r="W136" s="194"/>
      <c r="X136" s="194"/>
      <c r="Y136" s="194"/>
      <c r="Z136" s="194"/>
      <c r="AA136" s="194"/>
      <c r="AB136" s="194"/>
      <c r="AC136" s="194"/>
      <c r="AD136" s="194"/>
      <c r="AE136" s="194"/>
      <c r="AF136" s="194"/>
      <c r="AG136" s="194"/>
      <c r="AH136" s="194"/>
      <c r="AI136" s="194"/>
      <c r="AJ136" s="194"/>
      <c r="AK136" s="194"/>
      <c r="AL136" s="194"/>
      <c r="AM136" s="194"/>
      <c r="AN136" s="194"/>
      <c r="AO136" s="194"/>
      <c r="AP136" s="194"/>
      <c r="AQ136" s="194"/>
    </row>
    <row r="137" spans="4:43" ht="20.25">
      <c r="D137" s="194"/>
      <c r="E137" s="194"/>
      <c r="F137" s="194"/>
      <c r="G137" s="194"/>
      <c r="H137" s="255"/>
      <c r="I137" s="204"/>
      <c r="J137" s="204"/>
      <c r="K137" s="204"/>
      <c r="L137" s="204"/>
      <c r="M137" s="216"/>
      <c r="N137" s="220"/>
      <c r="O137" s="220"/>
      <c r="P137" s="220"/>
      <c r="Q137" s="220"/>
      <c r="R137" s="220"/>
      <c r="S137" s="194"/>
      <c r="T137" s="194"/>
      <c r="U137" s="194"/>
      <c r="V137" s="194"/>
      <c r="W137" s="194"/>
      <c r="X137" s="194"/>
      <c r="Y137" s="194"/>
      <c r="Z137" s="194"/>
      <c r="AA137" s="194"/>
      <c r="AB137" s="194"/>
      <c r="AC137" s="194"/>
      <c r="AD137" s="194"/>
      <c r="AE137" s="194"/>
      <c r="AF137" s="194"/>
      <c r="AG137" s="194"/>
      <c r="AH137" s="194"/>
      <c r="AI137" s="194"/>
      <c r="AJ137" s="194"/>
      <c r="AK137" s="194"/>
      <c r="AL137" s="194"/>
      <c r="AM137" s="194"/>
      <c r="AN137" s="194"/>
      <c r="AO137" s="194"/>
      <c r="AP137" s="194"/>
      <c r="AQ137" s="194"/>
    </row>
    <row r="138" spans="4:43" ht="20.25">
      <c r="D138" s="194"/>
      <c r="E138" s="194"/>
      <c r="F138" s="194"/>
      <c r="G138" s="194"/>
      <c r="H138" s="255"/>
      <c r="I138" s="204"/>
      <c r="J138" s="204"/>
      <c r="K138" s="204"/>
      <c r="L138" s="204"/>
      <c r="M138" s="216"/>
      <c r="N138" s="220"/>
      <c r="O138" s="220"/>
      <c r="P138" s="220"/>
      <c r="Q138" s="220"/>
      <c r="R138" s="220"/>
      <c r="S138" s="194"/>
      <c r="T138" s="194"/>
      <c r="U138" s="194"/>
      <c r="V138" s="194"/>
      <c r="W138" s="194"/>
      <c r="X138" s="194"/>
      <c r="Y138" s="194"/>
      <c r="Z138" s="194"/>
      <c r="AA138" s="194"/>
      <c r="AB138" s="194"/>
      <c r="AC138" s="194"/>
      <c r="AD138" s="194"/>
      <c r="AE138" s="194"/>
      <c r="AF138" s="194"/>
      <c r="AG138" s="194"/>
      <c r="AH138" s="194"/>
      <c r="AI138" s="194"/>
      <c r="AJ138" s="194"/>
      <c r="AK138" s="194"/>
      <c r="AL138" s="194"/>
      <c r="AM138" s="194"/>
      <c r="AN138" s="194"/>
      <c r="AO138" s="194"/>
      <c r="AP138" s="194"/>
      <c r="AQ138" s="194"/>
    </row>
    <row r="139" spans="4:43" ht="20.25">
      <c r="D139" s="194"/>
      <c r="E139" s="194"/>
      <c r="F139" s="194"/>
      <c r="G139" s="194"/>
      <c r="H139" s="255"/>
      <c r="I139" s="204"/>
      <c r="J139" s="204"/>
      <c r="K139" s="204"/>
      <c r="L139" s="204"/>
      <c r="M139" s="216"/>
      <c r="N139" s="220"/>
      <c r="O139" s="220"/>
      <c r="P139" s="220"/>
      <c r="Q139" s="220"/>
      <c r="R139" s="220"/>
      <c r="S139" s="194"/>
      <c r="T139" s="194"/>
      <c r="U139" s="194"/>
      <c r="V139" s="194"/>
      <c r="W139" s="194"/>
      <c r="X139" s="194"/>
      <c r="Y139" s="194"/>
      <c r="Z139" s="194"/>
      <c r="AA139" s="194"/>
      <c r="AB139" s="194"/>
      <c r="AC139" s="194"/>
      <c r="AD139" s="194"/>
      <c r="AE139" s="194"/>
      <c r="AF139" s="194"/>
      <c r="AG139" s="194"/>
      <c r="AH139" s="194"/>
      <c r="AI139" s="194"/>
      <c r="AJ139" s="194"/>
      <c r="AK139" s="194"/>
      <c r="AL139" s="194"/>
      <c r="AM139" s="194"/>
      <c r="AN139" s="194"/>
      <c r="AO139" s="194"/>
      <c r="AP139" s="194"/>
      <c r="AQ139" s="194"/>
    </row>
    <row r="140" spans="4:43" ht="20.25">
      <c r="D140" s="194"/>
      <c r="E140" s="194"/>
      <c r="F140" s="194"/>
      <c r="G140" s="194"/>
      <c r="H140" s="255"/>
      <c r="I140" s="204"/>
      <c r="J140" s="204"/>
      <c r="K140" s="204"/>
      <c r="L140" s="204"/>
      <c r="M140" s="216"/>
      <c r="N140" s="220"/>
      <c r="O140" s="220"/>
      <c r="P140" s="220"/>
      <c r="Q140" s="220"/>
      <c r="R140" s="220"/>
      <c r="S140" s="194"/>
      <c r="T140" s="194"/>
      <c r="U140" s="194"/>
      <c r="V140" s="194"/>
      <c r="W140" s="194"/>
      <c r="X140" s="194"/>
      <c r="Y140" s="194"/>
      <c r="Z140" s="194"/>
      <c r="AA140" s="194"/>
      <c r="AB140" s="194"/>
      <c r="AC140" s="194"/>
      <c r="AD140" s="194"/>
      <c r="AE140" s="194"/>
      <c r="AF140" s="194"/>
      <c r="AG140" s="194"/>
      <c r="AH140" s="194"/>
      <c r="AI140" s="194"/>
      <c r="AJ140" s="194"/>
      <c r="AK140" s="194"/>
      <c r="AL140" s="194"/>
      <c r="AM140" s="194"/>
      <c r="AN140" s="194"/>
      <c r="AO140" s="194"/>
      <c r="AP140" s="194"/>
      <c r="AQ140" s="194"/>
    </row>
    <row r="141" spans="4:43" ht="20.25">
      <c r="D141" s="194"/>
      <c r="E141" s="194"/>
      <c r="F141" s="194"/>
      <c r="G141" s="194"/>
      <c r="H141" s="255"/>
      <c r="I141" s="204"/>
      <c r="J141" s="204"/>
      <c r="K141" s="204"/>
      <c r="L141" s="204"/>
      <c r="M141" s="216"/>
      <c r="N141" s="220"/>
      <c r="O141" s="220"/>
      <c r="P141" s="220"/>
      <c r="Q141" s="220"/>
      <c r="R141" s="220"/>
      <c r="S141" s="194"/>
      <c r="T141" s="194"/>
      <c r="U141" s="194"/>
      <c r="V141" s="194"/>
      <c r="W141" s="194"/>
      <c r="X141" s="194"/>
      <c r="Y141" s="194"/>
      <c r="Z141" s="194"/>
      <c r="AA141" s="194"/>
      <c r="AB141" s="194"/>
      <c r="AC141" s="194"/>
      <c r="AD141" s="194"/>
      <c r="AE141" s="194"/>
      <c r="AF141" s="194"/>
      <c r="AG141" s="194"/>
      <c r="AH141" s="194"/>
      <c r="AI141" s="194"/>
      <c r="AJ141" s="194"/>
      <c r="AK141" s="194"/>
      <c r="AL141" s="194"/>
      <c r="AM141" s="194"/>
      <c r="AN141" s="194"/>
      <c r="AO141" s="194"/>
      <c r="AP141" s="194"/>
      <c r="AQ141" s="194"/>
    </row>
    <row r="142" spans="4:43" ht="20.25">
      <c r="D142" s="194"/>
      <c r="E142" s="194"/>
      <c r="F142" s="194"/>
      <c r="G142" s="194"/>
      <c r="H142" s="255"/>
      <c r="I142" s="204"/>
      <c r="J142" s="204"/>
      <c r="K142" s="204"/>
      <c r="L142" s="204"/>
      <c r="M142" s="216"/>
      <c r="N142" s="220"/>
      <c r="O142" s="220"/>
      <c r="P142" s="220"/>
      <c r="Q142" s="220"/>
      <c r="R142" s="220"/>
      <c r="S142" s="194"/>
      <c r="T142" s="194"/>
      <c r="U142" s="194"/>
      <c r="V142" s="194"/>
      <c r="W142" s="194"/>
      <c r="X142" s="194"/>
      <c r="Y142" s="194"/>
      <c r="Z142" s="194"/>
      <c r="AA142" s="194"/>
      <c r="AB142" s="194"/>
      <c r="AC142" s="194"/>
      <c r="AD142" s="194"/>
      <c r="AE142" s="194"/>
      <c r="AF142" s="194"/>
      <c r="AG142" s="194"/>
      <c r="AH142" s="194"/>
      <c r="AI142" s="194"/>
      <c r="AJ142" s="194"/>
      <c r="AK142" s="194"/>
      <c r="AL142" s="194"/>
      <c r="AM142" s="194"/>
      <c r="AN142" s="194"/>
      <c r="AO142" s="194"/>
      <c r="AP142" s="194"/>
      <c r="AQ142" s="194"/>
    </row>
    <row r="143" spans="4:43" ht="20.25">
      <c r="D143" s="194"/>
      <c r="E143" s="194"/>
      <c r="F143" s="194"/>
      <c r="G143" s="194"/>
      <c r="H143" s="255"/>
      <c r="I143" s="204"/>
      <c r="J143" s="204"/>
      <c r="K143" s="204"/>
      <c r="L143" s="204"/>
      <c r="M143" s="216"/>
      <c r="N143" s="220"/>
      <c r="O143" s="220"/>
      <c r="P143" s="220"/>
      <c r="Q143" s="220"/>
      <c r="R143" s="220"/>
      <c r="S143" s="194"/>
      <c r="T143" s="194"/>
      <c r="U143" s="194"/>
      <c r="V143" s="194"/>
      <c r="W143" s="194"/>
      <c r="X143" s="194"/>
      <c r="Y143" s="194"/>
      <c r="Z143" s="194"/>
      <c r="AA143" s="194"/>
      <c r="AB143" s="194"/>
      <c r="AC143" s="194"/>
      <c r="AD143" s="194"/>
      <c r="AE143" s="194"/>
      <c r="AF143" s="194"/>
      <c r="AG143" s="194"/>
      <c r="AH143" s="194"/>
      <c r="AI143" s="194"/>
      <c r="AJ143" s="194"/>
      <c r="AK143" s="194"/>
      <c r="AL143" s="194"/>
      <c r="AM143" s="194"/>
      <c r="AN143" s="194"/>
      <c r="AO143" s="194"/>
      <c r="AP143" s="194"/>
      <c r="AQ143" s="194"/>
    </row>
    <row r="144" spans="4:43" ht="20.25">
      <c r="D144" s="194"/>
      <c r="E144" s="194"/>
      <c r="F144" s="194"/>
      <c r="G144" s="194"/>
      <c r="H144" s="255"/>
      <c r="I144" s="204"/>
      <c r="J144" s="204"/>
      <c r="K144" s="204"/>
      <c r="L144" s="204"/>
      <c r="M144" s="216"/>
      <c r="N144" s="220"/>
      <c r="O144" s="220"/>
      <c r="P144" s="220"/>
      <c r="Q144" s="220"/>
      <c r="R144" s="220"/>
      <c r="S144" s="194"/>
      <c r="T144" s="194"/>
      <c r="U144" s="194"/>
      <c r="V144" s="194"/>
      <c r="W144" s="194"/>
      <c r="X144" s="194"/>
      <c r="Y144" s="194"/>
      <c r="Z144" s="194"/>
      <c r="AA144" s="194"/>
      <c r="AB144" s="194"/>
      <c r="AC144" s="194"/>
      <c r="AD144" s="194"/>
      <c r="AE144" s="194"/>
      <c r="AF144" s="194"/>
      <c r="AG144" s="194"/>
      <c r="AH144" s="194"/>
      <c r="AI144" s="194"/>
      <c r="AJ144" s="194"/>
      <c r="AK144" s="194"/>
      <c r="AL144" s="194"/>
      <c r="AM144" s="194"/>
      <c r="AN144" s="194"/>
      <c r="AO144" s="194"/>
      <c r="AP144" s="194"/>
      <c r="AQ144" s="194"/>
    </row>
    <row r="145" spans="4:43" ht="20.25">
      <c r="D145" s="194"/>
      <c r="E145" s="194"/>
      <c r="F145" s="194"/>
      <c r="G145" s="194"/>
      <c r="H145" s="255"/>
      <c r="I145" s="204"/>
      <c r="J145" s="204"/>
      <c r="K145" s="204"/>
      <c r="L145" s="204"/>
      <c r="M145" s="216"/>
      <c r="N145" s="220"/>
      <c r="O145" s="220"/>
      <c r="P145" s="220"/>
      <c r="Q145" s="220"/>
      <c r="R145" s="220"/>
      <c r="S145" s="194"/>
      <c r="T145" s="194"/>
      <c r="U145" s="194"/>
      <c r="V145" s="194"/>
      <c r="W145" s="194"/>
      <c r="X145" s="194"/>
      <c r="Y145" s="194"/>
      <c r="Z145" s="194"/>
      <c r="AA145" s="194"/>
      <c r="AB145" s="194"/>
      <c r="AC145" s="194"/>
      <c r="AD145" s="194"/>
      <c r="AE145" s="194"/>
      <c r="AF145" s="194"/>
      <c r="AG145" s="194"/>
      <c r="AH145" s="194"/>
      <c r="AI145" s="194"/>
      <c r="AJ145" s="194"/>
      <c r="AK145" s="194"/>
      <c r="AL145" s="194"/>
      <c r="AM145" s="194"/>
      <c r="AN145" s="194"/>
      <c r="AO145" s="194"/>
      <c r="AP145" s="194"/>
      <c r="AQ145" s="194"/>
    </row>
    <row r="146" spans="4:43" ht="20.25">
      <c r="D146" s="194"/>
      <c r="E146" s="194"/>
      <c r="F146" s="194"/>
      <c r="G146" s="194"/>
      <c r="H146" s="255"/>
      <c r="I146" s="204"/>
      <c r="J146" s="204"/>
      <c r="K146" s="204"/>
      <c r="L146" s="204"/>
      <c r="M146" s="216"/>
      <c r="N146" s="220"/>
      <c r="O146" s="220"/>
      <c r="P146" s="220"/>
      <c r="Q146" s="220"/>
      <c r="R146" s="220"/>
      <c r="S146" s="194"/>
      <c r="T146" s="194"/>
      <c r="U146" s="194"/>
      <c r="V146" s="194"/>
      <c r="W146" s="194"/>
      <c r="X146" s="194"/>
      <c r="Y146" s="194"/>
      <c r="Z146" s="194"/>
      <c r="AA146" s="194"/>
      <c r="AB146" s="194"/>
      <c r="AC146" s="194"/>
      <c r="AD146" s="194"/>
      <c r="AE146" s="194"/>
      <c r="AF146" s="194"/>
      <c r="AG146" s="194"/>
      <c r="AH146" s="194"/>
      <c r="AI146" s="194"/>
      <c r="AJ146" s="194"/>
      <c r="AK146" s="194"/>
      <c r="AL146" s="194"/>
      <c r="AM146" s="194"/>
      <c r="AN146" s="194"/>
      <c r="AO146" s="194"/>
      <c r="AP146" s="194"/>
      <c r="AQ146" s="194"/>
    </row>
    <row r="147" spans="4:43" ht="20.25">
      <c r="D147" s="194"/>
      <c r="E147" s="194"/>
      <c r="F147" s="194"/>
      <c r="G147" s="194"/>
      <c r="H147" s="255"/>
      <c r="I147" s="204"/>
      <c r="J147" s="204"/>
      <c r="K147" s="204"/>
      <c r="L147" s="204"/>
      <c r="M147" s="216"/>
      <c r="N147" s="220"/>
      <c r="O147" s="220"/>
      <c r="P147" s="220"/>
      <c r="Q147" s="220"/>
      <c r="R147" s="220"/>
      <c r="S147" s="194"/>
      <c r="T147" s="194"/>
      <c r="U147" s="194"/>
      <c r="V147" s="194"/>
      <c r="W147" s="194"/>
      <c r="X147" s="194"/>
      <c r="Y147" s="194"/>
      <c r="Z147" s="194"/>
      <c r="AA147" s="194"/>
      <c r="AB147" s="194"/>
      <c r="AC147" s="194"/>
      <c r="AD147" s="194"/>
      <c r="AE147" s="194"/>
      <c r="AF147" s="194"/>
      <c r="AG147" s="194"/>
      <c r="AH147" s="194"/>
      <c r="AI147" s="194"/>
      <c r="AJ147" s="194"/>
      <c r="AK147" s="194"/>
      <c r="AL147" s="194"/>
      <c r="AM147" s="194"/>
      <c r="AN147" s="194"/>
      <c r="AO147" s="194"/>
      <c r="AP147" s="194"/>
      <c r="AQ147" s="194"/>
    </row>
    <row r="148" spans="4:43" ht="20.25">
      <c r="D148" s="194"/>
      <c r="E148" s="194"/>
      <c r="F148" s="194"/>
      <c r="G148" s="194"/>
      <c r="H148" s="255"/>
      <c r="I148" s="204"/>
      <c r="J148" s="204"/>
      <c r="K148" s="204"/>
      <c r="L148" s="204"/>
      <c r="M148" s="216"/>
      <c r="N148" s="220"/>
      <c r="O148" s="220"/>
      <c r="P148" s="220"/>
      <c r="Q148" s="220"/>
      <c r="R148" s="220"/>
      <c r="S148" s="194"/>
      <c r="T148" s="194"/>
      <c r="U148" s="194"/>
      <c r="V148" s="194"/>
      <c r="W148" s="194"/>
      <c r="X148" s="194"/>
      <c r="Y148" s="194"/>
      <c r="Z148" s="194"/>
      <c r="AA148" s="194"/>
      <c r="AB148" s="194"/>
      <c r="AC148" s="194"/>
      <c r="AD148" s="194"/>
      <c r="AE148" s="194"/>
      <c r="AF148" s="194"/>
      <c r="AG148" s="194"/>
      <c r="AH148" s="194"/>
      <c r="AI148" s="194"/>
      <c r="AJ148" s="194"/>
      <c r="AK148" s="194"/>
      <c r="AL148" s="194"/>
      <c r="AM148" s="194"/>
      <c r="AN148" s="194"/>
      <c r="AO148" s="194"/>
      <c r="AP148" s="194"/>
      <c r="AQ148" s="194"/>
    </row>
    <row r="149" spans="4:43" ht="20.25">
      <c r="D149" s="194"/>
      <c r="E149" s="194"/>
      <c r="F149" s="194"/>
      <c r="G149" s="194"/>
      <c r="H149" s="255"/>
      <c r="I149" s="204"/>
      <c r="J149" s="204"/>
      <c r="K149" s="204"/>
      <c r="L149" s="204"/>
      <c r="M149" s="216"/>
      <c r="N149" s="220"/>
      <c r="O149" s="220"/>
      <c r="P149" s="220"/>
      <c r="Q149" s="220"/>
      <c r="R149" s="220"/>
      <c r="S149" s="194"/>
      <c r="T149" s="194"/>
      <c r="U149" s="194"/>
      <c r="V149" s="194"/>
      <c r="W149" s="194"/>
      <c r="X149" s="194"/>
      <c r="Y149" s="194"/>
      <c r="Z149" s="194"/>
      <c r="AA149" s="194"/>
      <c r="AB149" s="194"/>
      <c r="AC149" s="194"/>
      <c r="AD149" s="194"/>
      <c r="AE149" s="194"/>
      <c r="AF149" s="194"/>
      <c r="AG149" s="194"/>
      <c r="AH149" s="194"/>
      <c r="AI149" s="194"/>
      <c r="AJ149" s="194"/>
      <c r="AK149" s="194"/>
      <c r="AL149" s="194"/>
      <c r="AM149" s="194"/>
      <c r="AN149" s="194"/>
      <c r="AO149" s="194"/>
      <c r="AP149" s="194"/>
      <c r="AQ149" s="194"/>
    </row>
    <row r="150" spans="4:43" ht="20.25">
      <c r="D150" s="194"/>
      <c r="E150" s="194"/>
      <c r="F150" s="194"/>
      <c r="G150" s="194"/>
      <c r="H150" s="255"/>
      <c r="I150" s="204"/>
      <c r="J150" s="204"/>
      <c r="K150" s="204"/>
      <c r="L150" s="204"/>
      <c r="M150" s="216"/>
      <c r="N150" s="220"/>
      <c r="O150" s="220"/>
      <c r="P150" s="220"/>
      <c r="Q150" s="220"/>
      <c r="R150" s="220"/>
      <c r="S150" s="194"/>
      <c r="T150" s="194"/>
      <c r="U150" s="194"/>
      <c r="V150" s="194"/>
      <c r="W150" s="194"/>
      <c r="X150" s="194"/>
      <c r="Y150" s="194"/>
      <c r="Z150" s="194"/>
      <c r="AA150" s="194"/>
      <c r="AB150" s="194"/>
      <c r="AC150" s="194"/>
      <c r="AD150" s="194"/>
      <c r="AE150" s="194"/>
      <c r="AF150" s="194"/>
      <c r="AG150" s="194"/>
      <c r="AH150" s="194"/>
      <c r="AI150" s="194"/>
      <c r="AJ150" s="194"/>
      <c r="AK150" s="194"/>
      <c r="AL150" s="194"/>
      <c r="AM150" s="194"/>
      <c r="AN150" s="194"/>
      <c r="AO150" s="194"/>
      <c r="AP150" s="194"/>
      <c r="AQ150" s="194"/>
    </row>
    <row r="151" spans="4:43" ht="20.25">
      <c r="D151" s="194"/>
      <c r="E151" s="194"/>
      <c r="F151" s="194"/>
      <c r="G151" s="194"/>
      <c r="H151" s="255"/>
      <c r="I151" s="204"/>
      <c r="J151" s="204"/>
      <c r="K151" s="204"/>
      <c r="L151" s="204"/>
      <c r="M151" s="216"/>
      <c r="N151" s="220"/>
      <c r="O151" s="220"/>
      <c r="P151" s="220"/>
      <c r="Q151" s="220"/>
      <c r="R151" s="220"/>
      <c r="S151" s="194"/>
      <c r="T151" s="194"/>
      <c r="U151" s="194"/>
      <c r="V151" s="194"/>
      <c r="W151" s="194"/>
      <c r="X151" s="194"/>
      <c r="Y151" s="194"/>
      <c r="Z151" s="194"/>
      <c r="AA151" s="194"/>
      <c r="AB151" s="194"/>
      <c r="AC151" s="194"/>
      <c r="AD151" s="194"/>
      <c r="AE151" s="194"/>
      <c r="AF151" s="194"/>
      <c r="AG151" s="194"/>
      <c r="AH151" s="194"/>
      <c r="AI151" s="194"/>
      <c r="AJ151" s="194"/>
      <c r="AK151" s="194"/>
      <c r="AL151" s="194"/>
      <c r="AM151" s="194"/>
      <c r="AN151" s="194"/>
      <c r="AO151" s="194"/>
      <c r="AP151" s="194"/>
      <c r="AQ151" s="194"/>
    </row>
    <row r="152" spans="4:43" ht="20.25">
      <c r="D152" s="194"/>
      <c r="E152" s="194"/>
      <c r="F152" s="194"/>
      <c r="G152" s="194"/>
      <c r="H152" s="255"/>
      <c r="I152" s="204"/>
      <c r="J152" s="204"/>
      <c r="K152" s="204"/>
      <c r="L152" s="204"/>
      <c r="M152" s="216"/>
      <c r="N152" s="220"/>
      <c r="O152" s="220"/>
      <c r="P152" s="220"/>
      <c r="Q152" s="220"/>
      <c r="R152" s="220"/>
      <c r="S152" s="194"/>
      <c r="T152" s="194"/>
      <c r="U152" s="194"/>
      <c r="V152" s="194"/>
      <c r="W152" s="194"/>
      <c r="X152" s="194"/>
      <c r="Y152" s="194"/>
      <c r="Z152" s="194"/>
      <c r="AA152" s="194"/>
      <c r="AB152" s="194"/>
      <c r="AC152" s="194"/>
      <c r="AD152" s="194"/>
      <c r="AE152" s="194"/>
      <c r="AF152" s="194"/>
      <c r="AG152" s="194"/>
      <c r="AH152" s="194"/>
      <c r="AI152" s="194"/>
      <c r="AJ152" s="194"/>
      <c r="AK152" s="194"/>
      <c r="AL152" s="194"/>
      <c r="AM152" s="194"/>
      <c r="AN152" s="194"/>
      <c r="AO152" s="194"/>
      <c r="AP152" s="194"/>
      <c r="AQ152" s="194"/>
    </row>
    <row r="153" spans="4:43" ht="20.25">
      <c r="D153" s="194"/>
      <c r="E153" s="194"/>
      <c r="F153" s="194"/>
      <c r="G153" s="194"/>
      <c r="H153" s="255"/>
      <c r="I153" s="204"/>
      <c r="J153" s="204"/>
      <c r="K153" s="204"/>
      <c r="L153" s="204"/>
      <c r="M153" s="216"/>
      <c r="N153" s="220"/>
      <c r="O153" s="220"/>
      <c r="P153" s="220"/>
      <c r="Q153" s="220"/>
      <c r="R153" s="220"/>
      <c r="S153" s="194"/>
      <c r="T153" s="194"/>
      <c r="U153" s="194"/>
      <c r="V153" s="194"/>
      <c r="W153" s="194"/>
      <c r="X153" s="194"/>
      <c r="Y153" s="194"/>
      <c r="Z153" s="194"/>
      <c r="AA153" s="194"/>
      <c r="AB153" s="194"/>
      <c r="AC153" s="194"/>
      <c r="AD153" s="194"/>
      <c r="AE153" s="194"/>
      <c r="AF153" s="194"/>
      <c r="AG153" s="194"/>
      <c r="AH153" s="194"/>
      <c r="AI153" s="194"/>
      <c r="AJ153" s="194"/>
      <c r="AK153" s="194"/>
      <c r="AL153" s="194"/>
      <c r="AM153" s="194"/>
      <c r="AN153" s="194"/>
      <c r="AO153" s="194"/>
      <c r="AP153" s="194"/>
      <c r="AQ153" s="194"/>
    </row>
    <row r="154" spans="4:43" ht="20.25">
      <c r="D154" s="194"/>
      <c r="E154" s="194"/>
      <c r="F154" s="194"/>
      <c r="G154" s="194"/>
      <c r="H154" s="255"/>
      <c r="I154" s="204"/>
      <c r="J154" s="204"/>
      <c r="K154" s="204"/>
      <c r="L154" s="204"/>
      <c r="M154" s="216"/>
      <c r="N154" s="220"/>
      <c r="O154" s="220"/>
      <c r="P154" s="220"/>
      <c r="Q154" s="220"/>
      <c r="R154" s="220"/>
      <c r="S154" s="194"/>
      <c r="T154" s="194"/>
      <c r="U154" s="194"/>
      <c r="V154" s="194"/>
      <c r="W154" s="194"/>
      <c r="X154" s="194"/>
      <c r="Y154" s="194"/>
      <c r="Z154" s="194"/>
      <c r="AA154" s="194"/>
      <c r="AB154" s="194"/>
      <c r="AC154" s="194"/>
      <c r="AD154" s="194"/>
      <c r="AE154" s="194"/>
      <c r="AF154" s="194"/>
      <c r="AG154" s="194"/>
      <c r="AH154" s="194"/>
      <c r="AI154" s="194"/>
      <c r="AJ154" s="194"/>
      <c r="AK154" s="194"/>
      <c r="AL154" s="194"/>
      <c r="AM154" s="194"/>
      <c r="AN154" s="194"/>
      <c r="AO154" s="194"/>
      <c r="AP154" s="194"/>
      <c r="AQ154" s="194"/>
    </row>
    <row r="155" spans="4:43" ht="20.25">
      <c r="D155" s="194"/>
      <c r="E155" s="194"/>
      <c r="F155" s="194"/>
      <c r="G155" s="194"/>
      <c r="H155" s="255"/>
      <c r="I155" s="204"/>
      <c r="J155" s="204"/>
      <c r="K155" s="204"/>
      <c r="L155" s="204"/>
      <c r="M155" s="216"/>
      <c r="N155" s="220"/>
      <c r="O155" s="220"/>
      <c r="P155" s="220"/>
      <c r="Q155" s="220"/>
      <c r="R155" s="220"/>
      <c r="S155" s="194"/>
      <c r="T155" s="194"/>
      <c r="U155" s="194"/>
      <c r="V155" s="194"/>
      <c r="W155" s="194"/>
      <c r="X155" s="194"/>
      <c r="Y155" s="194"/>
      <c r="Z155" s="194"/>
      <c r="AA155" s="194"/>
      <c r="AB155" s="194"/>
      <c r="AC155" s="194"/>
      <c r="AD155" s="194"/>
      <c r="AE155" s="194"/>
      <c r="AF155" s="194"/>
      <c r="AG155" s="194"/>
      <c r="AH155" s="194"/>
      <c r="AI155" s="194"/>
      <c r="AJ155" s="194"/>
      <c r="AK155" s="194"/>
      <c r="AL155" s="194"/>
      <c r="AM155" s="194"/>
      <c r="AN155" s="194"/>
      <c r="AO155" s="194"/>
      <c r="AP155" s="194"/>
      <c r="AQ155" s="194"/>
    </row>
    <row r="156" spans="4:43" ht="20.25">
      <c r="D156" s="194"/>
      <c r="E156" s="194"/>
      <c r="F156" s="194"/>
      <c r="G156" s="194"/>
      <c r="H156" s="255"/>
      <c r="I156" s="204"/>
      <c r="J156" s="204"/>
      <c r="K156" s="204"/>
      <c r="L156" s="204"/>
      <c r="M156" s="216"/>
      <c r="N156" s="220"/>
      <c r="O156" s="220"/>
      <c r="P156" s="220"/>
      <c r="Q156" s="220"/>
      <c r="R156" s="220"/>
      <c r="S156" s="194"/>
      <c r="T156" s="194"/>
      <c r="U156" s="194"/>
      <c r="V156" s="194"/>
      <c r="W156" s="194"/>
      <c r="X156" s="194"/>
      <c r="Y156" s="194"/>
      <c r="Z156" s="194"/>
      <c r="AA156" s="194"/>
      <c r="AB156" s="194"/>
      <c r="AC156" s="194"/>
      <c r="AD156" s="194"/>
      <c r="AE156" s="194"/>
      <c r="AF156" s="194"/>
      <c r="AG156" s="194"/>
      <c r="AH156" s="194"/>
      <c r="AI156" s="194"/>
      <c r="AJ156" s="194"/>
      <c r="AK156" s="194"/>
      <c r="AL156" s="194"/>
      <c r="AM156" s="194"/>
      <c r="AN156" s="194"/>
      <c r="AO156" s="194"/>
      <c r="AP156" s="194"/>
      <c r="AQ156" s="194"/>
    </row>
    <row r="157" spans="4:43" ht="20.25">
      <c r="D157" s="194"/>
      <c r="E157" s="194"/>
      <c r="F157" s="194"/>
      <c r="G157" s="194"/>
      <c r="H157" s="255"/>
      <c r="I157" s="204"/>
      <c r="J157" s="204"/>
      <c r="K157" s="204"/>
      <c r="L157" s="204"/>
      <c r="M157" s="216"/>
      <c r="N157" s="220"/>
      <c r="O157" s="220"/>
      <c r="P157" s="220"/>
      <c r="Q157" s="220"/>
      <c r="R157" s="220"/>
      <c r="S157" s="194"/>
      <c r="T157" s="194"/>
      <c r="U157" s="194"/>
      <c r="V157" s="194"/>
      <c r="W157" s="194"/>
      <c r="X157" s="194"/>
      <c r="Y157" s="194"/>
      <c r="Z157" s="194"/>
      <c r="AA157" s="194"/>
      <c r="AB157" s="194"/>
      <c r="AC157" s="194"/>
      <c r="AD157" s="194"/>
      <c r="AE157" s="194"/>
      <c r="AF157" s="194"/>
      <c r="AG157" s="194"/>
      <c r="AH157" s="194"/>
      <c r="AI157" s="194"/>
      <c r="AJ157" s="194"/>
      <c r="AK157" s="194"/>
      <c r="AL157" s="194"/>
      <c r="AM157" s="194"/>
      <c r="AN157" s="194"/>
      <c r="AO157" s="194"/>
      <c r="AP157" s="194"/>
      <c r="AQ157" s="194"/>
    </row>
    <row r="158" spans="4:43" ht="20.25">
      <c r="D158" s="194"/>
      <c r="E158" s="194"/>
      <c r="F158" s="194"/>
      <c r="G158" s="194"/>
      <c r="H158" s="255"/>
      <c r="I158" s="204"/>
      <c r="J158" s="204"/>
      <c r="K158" s="204"/>
      <c r="L158" s="204"/>
      <c r="M158" s="216"/>
      <c r="N158" s="220"/>
      <c r="O158" s="220"/>
      <c r="P158" s="220"/>
      <c r="Q158" s="220"/>
      <c r="R158" s="220"/>
      <c r="S158" s="194"/>
      <c r="T158" s="194"/>
      <c r="U158" s="194"/>
      <c r="V158" s="194"/>
      <c r="W158" s="194"/>
      <c r="X158" s="194"/>
      <c r="Y158" s="194"/>
      <c r="Z158" s="194"/>
      <c r="AA158" s="194"/>
      <c r="AB158" s="194"/>
      <c r="AC158" s="194"/>
      <c r="AD158" s="194"/>
      <c r="AE158" s="194"/>
      <c r="AF158" s="194"/>
      <c r="AG158" s="194"/>
      <c r="AH158" s="194"/>
      <c r="AI158" s="194"/>
      <c r="AJ158" s="194"/>
      <c r="AK158" s="194"/>
      <c r="AL158" s="194"/>
      <c r="AM158" s="194"/>
      <c r="AN158" s="194"/>
      <c r="AO158" s="194"/>
      <c r="AP158" s="194"/>
      <c r="AQ158" s="194"/>
    </row>
    <row r="159" spans="4:43" ht="20.25">
      <c r="D159" s="194"/>
      <c r="E159" s="194"/>
      <c r="F159" s="194"/>
      <c r="G159" s="194"/>
      <c r="H159" s="255"/>
      <c r="I159" s="204"/>
      <c r="J159" s="204"/>
      <c r="K159" s="204"/>
      <c r="L159" s="204"/>
      <c r="M159" s="216"/>
      <c r="N159" s="220"/>
      <c r="O159" s="220"/>
      <c r="P159" s="220"/>
      <c r="Q159" s="220"/>
      <c r="R159" s="220"/>
      <c r="S159" s="194"/>
      <c r="T159" s="194"/>
      <c r="U159" s="194"/>
      <c r="V159" s="194"/>
      <c r="W159" s="194"/>
      <c r="X159" s="194"/>
      <c r="Y159" s="194"/>
      <c r="Z159" s="194"/>
      <c r="AA159" s="194"/>
      <c r="AB159" s="194"/>
      <c r="AC159" s="194"/>
      <c r="AD159" s="194"/>
      <c r="AE159" s="194"/>
      <c r="AF159" s="194"/>
      <c r="AG159" s="194"/>
      <c r="AH159" s="194"/>
      <c r="AI159" s="194"/>
      <c r="AJ159" s="194"/>
      <c r="AK159" s="194"/>
      <c r="AL159" s="194"/>
      <c r="AM159" s="194"/>
      <c r="AN159" s="194"/>
      <c r="AO159" s="194"/>
      <c r="AP159" s="194"/>
      <c r="AQ159" s="194"/>
    </row>
    <row r="160" spans="4:43" ht="20.25">
      <c r="D160" s="194"/>
      <c r="E160" s="194"/>
      <c r="F160" s="194"/>
      <c r="G160" s="194"/>
      <c r="H160" s="255"/>
      <c r="I160" s="204"/>
      <c r="J160" s="204"/>
      <c r="K160" s="204"/>
      <c r="L160" s="204"/>
      <c r="M160" s="216"/>
      <c r="N160" s="220"/>
      <c r="O160" s="220"/>
      <c r="P160" s="220"/>
      <c r="Q160" s="220"/>
      <c r="R160" s="220"/>
      <c r="S160" s="194"/>
      <c r="T160" s="194"/>
      <c r="U160" s="194"/>
      <c r="V160" s="194"/>
      <c r="W160" s="194"/>
      <c r="X160" s="194"/>
      <c r="Y160" s="194"/>
      <c r="Z160" s="194"/>
      <c r="AA160" s="194"/>
      <c r="AB160" s="194"/>
      <c r="AC160" s="194"/>
      <c r="AD160" s="194"/>
      <c r="AE160" s="194"/>
      <c r="AF160" s="194"/>
      <c r="AG160" s="194"/>
      <c r="AH160" s="194"/>
      <c r="AI160" s="194"/>
      <c r="AJ160" s="194"/>
      <c r="AK160" s="194"/>
      <c r="AL160" s="194"/>
      <c r="AM160" s="194"/>
      <c r="AN160" s="194"/>
      <c r="AO160" s="194"/>
      <c r="AP160" s="194"/>
      <c r="AQ160" s="194"/>
    </row>
    <row r="161" spans="4:43" ht="20.25">
      <c r="D161" s="194"/>
      <c r="E161" s="194"/>
      <c r="F161" s="194"/>
      <c r="G161" s="194"/>
      <c r="H161" s="255"/>
      <c r="I161" s="204"/>
      <c r="J161" s="204"/>
      <c r="K161" s="204"/>
      <c r="L161" s="204"/>
      <c r="M161" s="216"/>
      <c r="N161" s="220"/>
      <c r="O161" s="220"/>
      <c r="P161" s="220"/>
      <c r="Q161" s="220"/>
      <c r="R161" s="220"/>
      <c r="S161" s="194"/>
      <c r="T161" s="194"/>
      <c r="U161" s="194"/>
      <c r="V161" s="194"/>
      <c r="W161" s="194"/>
      <c r="X161" s="194"/>
      <c r="Y161" s="194"/>
      <c r="Z161" s="194"/>
      <c r="AA161" s="194"/>
      <c r="AB161" s="194"/>
      <c r="AC161" s="194"/>
      <c r="AD161" s="194"/>
      <c r="AE161" s="194"/>
      <c r="AF161" s="194"/>
      <c r="AG161" s="194"/>
      <c r="AH161" s="194"/>
      <c r="AI161" s="194"/>
      <c r="AJ161" s="194"/>
      <c r="AK161" s="194"/>
      <c r="AL161" s="194"/>
      <c r="AM161" s="194"/>
      <c r="AN161" s="194"/>
      <c r="AO161" s="194"/>
      <c r="AP161" s="194"/>
      <c r="AQ161" s="194"/>
    </row>
    <row r="162" spans="4:43" ht="20.25">
      <c r="D162" s="194"/>
      <c r="E162" s="194"/>
      <c r="F162" s="194"/>
      <c r="G162" s="194"/>
      <c r="H162" s="255"/>
      <c r="I162" s="204"/>
      <c r="J162" s="204"/>
      <c r="K162" s="204"/>
      <c r="L162" s="204"/>
      <c r="M162" s="216"/>
      <c r="N162" s="220"/>
      <c r="O162" s="220"/>
      <c r="P162" s="220"/>
      <c r="Q162" s="220"/>
      <c r="R162" s="220"/>
      <c r="S162" s="194"/>
      <c r="T162" s="194"/>
      <c r="U162" s="194"/>
      <c r="V162" s="194"/>
      <c r="W162" s="194"/>
      <c r="X162" s="194"/>
      <c r="Y162" s="194"/>
      <c r="Z162" s="194"/>
      <c r="AA162" s="194"/>
      <c r="AB162" s="194"/>
      <c r="AC162" s="194"/>
      <c r="AD162" s="194"/>
      <c r="AE162" s="194"/>
      <c r="AF162" s="194"/>
      <c r="AG162" s="194"/>
      <c r="AH162" s="194"/>
      <c r="AI162" s="194"/>
      <c r="AJ162" s="194"/>
      <c r="AK162" s="194"/>
      <c r="AL162" s="194"/>
      <c r="AM162" s="194"/>
      <c r="AN162" s="194"/>
      <c r="AO162" s="194"/>
      <c r="AP162" s="194"/>
      <c r="AQ162" s="194"/>
    </row>
    <row r="163" spans="4:43" ht="20.25">
      <c r="D163" s="194"/>
      <c r="E163" s="194"/>
      <c r="F163" s="194"/>
      <c r="G163" s="194"/>
      <c r="H163" s="255"/>
      <c r="I163" s="204"/>
      <c r="J163" s="204"/>
      <c r="K163" s="204"/>
      <c r="L163" s="204"/>
      <c r="M163" s="216"/>
      <c r="N163" s="220"/>
      <c r="O163" s="220"/>
      <c r="P163" s="220"/>
      <c r="Q163" s="220"/>
      <c r="R163" s="220"/>
      <c r="S163" s="194"/>
      <c r="T163" s="194"/>
      <c r="U163" s="194"/>
      <c r="V163" s="194"/>
      <c r="W163" s="194"/>
      <c r="X163" s="194"/>
      <c r="Y163" s="194"/>
      <c r="Z163" s="194"/>
      <c r="AA163" s="194"/>
      <c r="AB163" s="194"/>
      <c r="AC163" s="194"/>
      <c r="AD163" s="194"/>
      <c r="AE163" s="194"/>
      <c r="AF163" s="194"/>
      <c r="AG163" s="194"/>
      <c r="AH163" s="194"/>
      <c r="AI163" s="194"/>
      <c r="AJ163" s="194"/>
      <c r="AK163" s="194"/>
      <c r="AL163" s="194"/>
      <c r="AM163" s="194"/>
      <c r="AN163" s="194"/>
      <c r="AO163" s="194"/>
      <c r="AP163" s="194"/>
      <c r="AQ163" s="194"/>
    </row>
    <row r="164" spans="4:43" ht="20.25">
      <c r="D164" s="194"/>
      <c r="E164" s="194"/>
      <c r="F164" s="194"/>
      <c r="G164" s="194"/>
      <c r="H164" s="255"/>
      <c r="I164" s="204"/>
      <c r="J164" s="204"/>
      <c r="K164" s="204"/>
      <c r="L164" s="204"/>
      <c r="M164" s="216"/>
      <c r="N164" s="220"/>
      <c r="O164" s="220"/>
      <c r="P164" s="220"/>
      <c r="Q164" s="220"/>
      <c r="R164" s="220"/>
      <c r="S164" s="194"/>
      <c r="T164" s="194"/>
      <c r="U164" s="194"/>
      <c r="V164" s="194"/>
      <c r="W164" s="194"/>
      <c r="X164" s="194"/>
      <c r="Y164" s="194"/>
      <c r="Z164" s="194"/>
      <c r="AA164" s="194"/>
      <c r="AB164" s="194"/>
      <c r="AC164" s="194"/>
      <c r="AD164" s="194"/>
      <c r="AE164" s="194"/>
      <c r="AF164" s="194"/>
      <c r="AG164" s="194"/>
      <c r="AH164" s="194"/>
      <c r="AI164" s="194"/>
      <c r="AJ164" s="194"/>
      <c r="AK164" s="194"/>
      <c r="AL164" s="194"/>
      <c r="AM164" s="194"/>
      <c r="AN164" s="194"/>
      <c r="AO164" s="194"/>
      <c r="AP164" s="194"/>
      <c r="AQ164" s="194"/>
    </row>
    <row r="165" spans="4:43" ht="20.25">
      <c r="D165" s="194"/>
      <c r="E165" s="194"/>
      <c r="F165" s="194"/>
      <c r="G165" s="194"/>
      <c r="H165" s="255"/>
      <c r="I165" s="204"/>
      <c r="J165" s="204"/>
      <c r="K165" s="204"/>
      <c r="L165" s="204"/>
      <c r="M165" s="216"/>
      <c r="N165" s="220"/>
      <c r="O165" s="220"/>
      <c r="P165" s="220"/>
      <c r="Q165" s="220"/>
      <c r="R165" s="220"/>
      <c r="S165" s="194"/>
      <c r="T165" s="194"/>
      <c r="U165" s="194"/>
      <c r="V165" s="194"/>
      <c r="W165" s="194"/>
      <c r="X165" s="194"/>
      <c r="Y165" s="194"/>
      <c r="Z165" s="194"/>
      <c r="AA165" s="194"/>
      <c r="AB165" s="194"/>
      <c r="AC165" s="194"/>
      <c r="AD165" s="194"/>
      <c r="AE165" s="194"/>
      <c r="AF165" s="194"/>
      <c r="AG165" s="194"/>
      <c r="AH165" s="194"/>
      <c r="AI165" s="194"/>
      <c r="AJ165" s="194"/>
      <c r="AK165" s="194"/>
      <c r="AL165" s="194"/>
      <c r="AM165" s="194"/>
      <c r="AN165" s="194"/>
      <c r="AO165" s="194"/>
      <c r="AP165" s="194"/>
      <c r="AQ165" s="194"/>
    </row>
    <row r="166" spans="4:43" ht="20.25">
      <c r="D166" s="194"/>
      <c r="E166" s="194"/>
      <c r="F166" s="194"/>
      <c r="G166" s="194"/>
      <c r="H166" s="255"/>
      <c r="I166" s="204"/>
      <c r="J166" s="204"/>
      <c r="K166" s="204"/>
      <c r="L166" s="204"/>
      <c r="M166" s="216"/>
      <c r="N166" s="220"/>
      <c r="O166" s="220"/>
      <c r="P166" s="220"/>
      <c r="Q166" s="220"/>
      <c r="R166" s="220"/>
      <c r="S166" s="194"/>
      <c r="T166" s="194"/>
      <c r="U166" s="194"/>
      <c r="V166" s="194"/>
      <c r="W166" s="194"/>
      <c r="X166" s="194"/>
      <c r="Y166" s="194"/>
      <c r="Z166" s="194"/>
      <c r="AA166" s="194"/>
      <c r="AB166" s="194"/>
      <c r="AC166" s="194"/>
      <c r="AD166" s="194"/>
      <c r="AE166" s="194"/>
      <c r="AF166" s="194"/>
      <c r="AG166" s="194"/>
      <c r="AH166" s="194"/>
      <c r="AI166" s="194"/>
      <c r="AJ166" s="194"/>
      <c r="AK166" s="194"/>
      <c r="AL166" s="194"/>
      <c r="AM166" s="194"/>
      <c r="AN166" s="194"/>
      <c r="AO166" s="194"/>
      <c r="AP166" s="194"/>
      <c r="AQ166" s="194"/>
    </row>
    <row r="167" spans="4:43" ht="20.25">
      <c r="D167" s="194"/>
      <c r="E167" s="194"/>
      <c r="F167" s="194"/>
      <c r="G167" s="194"/>
      <c r="H167" s="255"/>
      <c r="I167" s="204"/>
      <c r="J167" s="204"/>
      <c r="K167" s="204"/>
      <c r="L167" s="204"/>
      <c r="M167" s="216"/>
      <c r="N167" s="220"/>
      <c r="O167" s="220"/>
      <c r="P167" s="220"/>
      <c r="Q167" s="220"/>
      <c r="R167" s="220"/>
      <c r="S167" s="194"/>
      <c r="T167" s="194"/>
      <c r="U167" s="194"/>
      <c r="V167" s="194"/>
      <c r="W167" s="194"/>
      <c r="X167" s="194"/>
      <c r="Y167" s="194"/>
      <c r="Z167" s="194"/>
      <c r="AA167" s="194"/>
      <c r="AB167" s="194"/>
      <c r="AC167" s="194"/>
      <c r="AD167" s="194"/>
      <c r="AE167" s="194"/>
      <c r="AF167" s="194"/>
      <c r="AG167" s="194"/>
      <c r="AH167" s="194"/>
      <c r="AI167" s="194"/>
      <c r="AJ167" s="194"/>
      <c r="AK167" s="194"/>
      <c r="AL167" s="194"/>
      <c r="AM167" s="194"/>
      <c r="AN167" s="194"/>
      <c r="AO167" s="194"/>
      <c r="AP167" s="194"/>
      <c r="AQ167" s="194"/>
    </row>
    <row r="168" spans="4:43" ht="20.25">
      <c r="D168" s="194"/>
      <c r="E168" s="194"/>
      <c r="F168" s="194"/>
      <c r="G168" s="194"/>
      <c r="H168" s="255"/>
      <c r="I168" s="204"/>
      <c r="J168" s="204"/>
      <c r="K168" s="204"/>
      <c r="L168" s="204"/>
      <c r="M168" s="216"/>
      <c r="N168" s="220"/>
      <c r="O168" s="220"/>
      <c r="P168" s="220"/>
      <c r="Q168" s="220"/>
      <c r="R168" s="220"/>
      <c r="S168" s="194"/>
      <c r="T168" s="194"/>
      <c r="U168" s="194"/>
      <c r="V168" s="194"/>
      <c r="W168" s="194"/>
      <c r="X168" s="194"/>
      <c r="Y168" s="194"/>
      <c r="Z168" s="194"/>
      <c r="AA168" s="194"/>
      <c r="AB168" s="194"/>
      <c r="AC168" s="194"/>
      <c r="AD168" s="194"/>
      <c r="AE168" s="194"/>
      <c r="AF168" s="194"/>
      <c r="AG168" s="194"/>
      <c r="AH168" s="194"/>
      <c r="AI168" s="194"/>
      <c r="AJ168" s="194"/>
      <c r="AK168" s="194"/>
      <c r="AL168" s="194"/>
      <c r="AM168" s="194"/>
      <c r="AN168" s="194"/>
      <c r="AO168" s="194"/>
      <c r="AP168" s="194"/>
      <c r="AQ168" s="194"/>
    </row>
    <row r="169" spans="4:43" ht="20.25">
      <c r="D169" s="194"/>
      <c r="E169" s="194"/>
      <c r="F169" s="194"/>
      <c r="G169" s="194"/>
      <c r="H169" s="255"/>
      <c r="I169" s="204"/>
      <c r="J169" s="204"/>
      <c r="K169" s="204"/>
      <c r="L169" s="204"/>
      <c r="M169" s="216"/>
      <c r="N169" s="220"/>
      <c r="O169" s="220"/>
      <c r="P169" s="220"/>
      <c r="Q169" s="220"/>
      <c r="R169" s="220"/>
      <c r="S169" s="194"/>
      <c r="T169" s="194"/>
      <c r="U169" s="194"/>
      <c r="V169" s="194"/>
      <c r="W169" s="194"/>
      <c r="X169" s="194"/>
      <c r="Y169" s="194"/>
      <c r="Z169" s="194"/>
      <c r="AA169" s="194"/>
      <c r="AB169" s="194"/>
      <c r="AC169" s="194"/>
      <c r="AD169" s="194"/>
      <c r="AE169" s="194"/>
      <c r="AF169" s="194"/>
      <c r="AG169" s="194"/>
      <c r="AH169" s="194"/>
      <c r="AI169" s="194"/>
      <c r="AJ169" s="194"/>
      <c r="AK169" s="194"/>
      <c r="AL169" s="194"/>
      <c r="AM169" s="194"/>
      <c r="AN169" s="194"/>
      <c r="AO169" s="194"/>
      <c r="AP169" s="194"/>
      <c r="AQ169" s="194"/>
    </row>
    <row r="170" spans="4:43" ht="20.25">
      <c r="D170" s="194"/>
      <c r="E170" s="194"/>
      <c r="F170" s="194"/>
      <c r="G170" s="194"/>
      <c r="H170" s="255"/>
      <c r="I170" s="204"/>
      <c r="J170" s="204"/>
      <c r="K170" s="204"/>
      <c r="L170" s="204"/>
      <c r="M170" s="216"/>
      <c r="N170" s="220"/>
      <c r="O170" s="220"/>
      <c r="P170" s="220"/>
      <c r="Q170" s="220"/>
      <c r="R170" s="220"/>
      <c r="S170" s="194"/>
      <c r="T170" s="194"/>
      <c r="U170" s="194"/>
      <c r="V170" s="194"/>
      <c r="W170" s="194"/>
      <c r="X170" s="194"/>
      <c r="Y170" s="194"/>
      <c r="Z170" s="194"/>
      <c r="AA170" s="194"/>
      <c r="AB170" s="194"/>
      <c r="AC170" s="194"/>
      <c r="AD170" s="194"/>
      <c r="AE170" s="194"/>
      <c r="AF170" s="194"/>
      <c r="AG170" s="194"/>
      <c r="AH170" s="194"/>
      <c r="AI170" s="194"/>
      <c r="AJ170" s="194"/>
      <c r="AK170" s="194"/>
      <c r="AL170" s="194"/>
      <c r="AM170" s="194"/>
      <c r="AN170" s="194"/>
      <c r="AO170" s="194"/>
      <c r="AP170" s="194"/>
      <c r="AQ170" s="194"/>
    </row>
    <row r="171" spans="4:43" ht="20.25">
      <c r="D171" s="194"/>
      <c r="E171" s="194"/>
      <c r="F171" s="194"/>
      <c r="G171" s="194"/>
      <c r="H171" s="255"/>
      <c r="I171" s="204"/>
      <c r="J171" s="204"/>
      <c r="K171" s="204"/>
      <c r="L171" s="204"/>
      <c r="M171" s="216"/>
      <c r="N171" s="220"/>
      <c r="O171" s="220"/>
      <c r="P171" s="220"/>
      <c r="Q171" s="220"/>
      <c r="R171" s="220"/>
      <c r="S171" s="194"/>
      <c r="T171" s="194"/>
      <c r="U171" s="194"/>
      <c r="V171" s="194"/>
      <c r="W171" s="194"/>
      <c r="X171" s="194"/>
      <c r="Y171" s="194"/>
      <c r="Z171" s="194"/>
      <c r="AA171" s="194"/>
      <c r="AB171" s="194"/>
      <c r="AC171" s="194"/>
      <c r="AD171" s="194"/>
      <c r="AE171" s="194"/>
      <c r="AF171" s="194"/>
      <c r="AG171" s="194"/>
      <c r="AH171" s="194"/>
      <c r="AI171" s="194"/>
      <c r="AJ171" s="194"/>
      <c r="AK171" s="194"/>
      <c r="AL171" s="194"/>
      <c r="AM171" s="194"/>
      <c r="AN171" s="194"/>
      <c r="AO171" s="194"/>
      <c r="AP171" s="194"/>
      <c r="AQ171" s="194"/>
    </row>
    <row r="172" spans="4:43" ht="20.25">
      <c r="D172" s="194"/>
      <c r="E172" s="194"/>
      <c r="F172" s="194"/>
      <c r="G172" s="194"/>
      <c r="H172" s="255"/>
      <c r="I172" s="204"/>
      <c r="J172" s="204"/>
      <c r="K172" s="204"/>
      <c r="L172" s="204"/>
      <c r="M172" s="216"/>
      <c r="N172" s="220"/>
      <c r="O172" s="220"/>
      <c r="P172" s="220"/>
      <c r="Q172" s="220"/>
      <c r="R172" s="220"/>
      <c r="S172" s="194"/>
      <c r="T172" s="194"/>
      <c r="U172" s="194"/>
      <c r="V172" s="194"/>
      <c r="W172" s="194"/>
      <c r="X172" s="194"/>
      <c r="Y172" s="194"/>
      <c r="Z172" s="194"/>
      <c r="AA172" s="194"/>
      <c r="AB172" s="194"/>
      <c r="AC172" s="194"/>
      <c r="AD172" s="194"/>
      <c r="AE172" s="194"/>
      <c r="AF172" s="194"/>
      <c r="AG172" s="194"/>
      <c r="AH172" s="194"/>
      <c r="AI172" s="194"/>
      <c r="AJ172" s="194"/>
      <c r="AK172" s="194"/>
      <c r="AL172" s="194"/>
      <c r="AM172" s="194"/>
      <c r="AN172" s="194"/>
      <c r="AO172" s="194"/>
      <c r="AP172" s="194"/>
      <c r="AQ172" s="194"/>
    </row>
    <row r="173" spans="4:43" ht="20.25">
      <c r="D173" s="194"/>
      <c r="E173" s="194"/>
      <c r="F173" s="194"/>
      <c r="G173" s="194"/>
      <c r="H173" s="255"/>
      <c r="I173" s="204"/>
      <c r="J173" s="204"/>
      <c r="K173" s="204"/>
      <c r="L173" s="204"/>
      <c r="M173" s="216"/>
      <c r="N173" s="220"/>
      <c r="O173" s="220"/>
      <c r="P173" s="220"/>
      <c r="Q173" s="220"/>
      <c r="R173" s="220"/>
      <c r="S173" s="194"/>
      <c r="T173" s="194"/>
      <c r="U173" s="194"/>
      <c r="V173" s="194"/>
      <c r="W173" s="194"/>
      <c r="X173" s="194"/>
      <c r="Y173" s="194"/>
      <c r="Z173" s="194"/>
      <c r="AA173" s="194"/>
      <c r="AB173" s="194"/>
      <c r="AC173" s="194"/>
      <c r="AD173" s="194"/>
      <c r="AE173" s="194"/>
      <c r="AF173" s="194"/>
      <c r="AG173" s="194"/>
      <c r="AH173" s="194"/>
      <c r="AI173" s="194"/>
      <c r="AJ173" s="194"/>
      <c r="AK173" s="194"/>
      <c r="AL173" s="194"/>
      <c r="AM173" s="194"/>
      <c r="AN173" s="194"/>
      <c r="AO173" s="194"/>
      <c r="AP173" s="194"/>
      <c r="AQ173" s="194"/>
    </row>
    <row r="174" spans="4:43" ht="20.25">
      <c r="D174" s="194"/>
      <c r="E174" s="194"/>
      <c r="F174" s="194"/>
      <c r="G174" s="194"/>
      <c r="H174" s="255"/>
      <c r="I174" s="204"/>
      <c r="J174" s="204"/>
      <c r="K174" s="204"/>
      <c r="L174" s="204"/>
      <c r="M174" s="216"/>
      <c r="N174" s="220"/>
      <c r="O174" s="220"/>
      <c r="P174" s="220"/>
      <c r="Q174" s="220"/>
      <c r="R174" s="220"/>
      <c r="S174" s="194"/>
      <c r="T174" s="194"/>
      <c r="U174" s="194"/>
      <c r="V174" s="194"/>
      <c r="W174" s="194"/>
      <c r="X174" s="194"/>
      <c r="Y174" s="194"/>
      <c r="Z174" s="194"/>
      <c r="AA174" s="194"/>
      <c r="AB174" s="194"/>
      <c r="AC174" s="194"/>
      <c r="AD174" s="194"/>
      <c r="AE174" s="194"/>
      <c r="AF174" s="194"/>
      <c r="AG174" s="194"/>
      <c r="AH174" s="194"/>
      <c r="AI174" s="194"/>
      <c r="AJ174" s="194"/>
      <c r="AK174" s="194"/>
      <c r="AL174" s="194"/>
      <c r="AM174" s="194"/>
      <c r="AN174" s="194"/>
      <c r="AO174" s="194"/>
      <c r="AP174" s="194"/>
      <c r="AQ174" s="194"/>
    </row>
    <row r="175" spans="4:43" ht="20.25">
      <c r="D175" s="194"/>
      <c r="E175" s="194"/>
      <c r="F175" s="194"/>
      <c r="G175" s="194"/>
      <c r="H175" s="255"/>
      <c r="I175" s="204"/>
      <c r="J175" s="204"/>
      <c r="K175" s="204"/>
      <c r="L175" s="204"/>
      <c r="M175" s="216"/>
      <c r="N175" s="220"/>
      <c r="O175" s="220"/>
      <c r="P175" s="220"/>
      <c r="Q175" s="220"/>
      <c r="R175" s="220"/>
      <c r="S175" s="194"/>
      <c r="T175" s="194"/>
      <c r="U175" s="194"/>
      <c r="V175" s="194"/>
      <c r="W175" s="194"/>
      <c r="X175" s="194"/>
      <c r="Y175" s="194"/>
      <c r="Z175" s="194"/>
      <c r="AA175" s="194"/>
      <c r="AB175" s="194"/>
      <c r="AC175" s="194"/>
      <c r="AD175" s="194"/>
      <c r="AE175" s="194"/>
      <c r="AF175" s="194"/>
      <c r="AG175" s="194"/>
      <c r="AH175" s="194"/>
      <c r="AI175" s="194"/>
      <c r="AJ175" s="194"/>
      <c r="AK175" s="194"/>
      <c r="AL175" s="194"/>
      <c r="AM175" s="194"/>
      <c r="AN175" s="194"/>
      <c r="AO175" s="194"/>
      <c r="AP175" s="194"/>
      <c r="AQ175" s="194"/>
    </row>
    <row r="176" spans="4:43" ht="20.25">
      <c r="D176" s="194"/>
      <c r="E176" s="194"/>
      <c r="F176" s="194"/>
      <c r="G176" s="194"/>
      <c r="H176" s="255"/>
      <c r="I176" s="204"/>
      <c r="J176" s="204"/>
      <c r="K176" s="204"/>
      <c r="L176" s="204"/>
      <c r="M176" s="216"/>
      <c r="N176" s="220"/>
      <c r="O176" s="220"/>
      <c r="P176" s="220"/>
      <c r="Q176" s="220"/>
      <c r="R176" s="220"/>
      <c r="S176" s="194"/>
      <c r="T176" s="194"/>
      <c r="U176" s="194"/>
      <c r="V176" s="194"/>
      <c r="W176" s="194"/>
      <c r="X176" s="194"/>
      <c r="Y176" s="194"/>
      <c r="Z176" s="194"/>
      <c r="AA176" s="194"/>
      <c r="AB176" s="194"/>
      <c r="AC176" s="194"/>
      <c r="AD176" s="194"/>
      <c r="AE176" s="194"/>
      <c r="AF176" s="194"/>
      <c r="AG176" s="194"/>
      <c r="AH176" s="194"/>
      <c r="AI176" s="194"/>
      <c r="AJ176" s="194"/>
      <c r="AK176" s="194"/>
      <c r="AL176" s="194"/>
      <c r="AM176" s="194"/>
      <c r="AN176" s="194"/>
      <c r="AO176" s="194"/>
      <c r="AP176" s="194"/>
      <c r="AQ176" s="194"/>
    </row>
    <row r="177" spans="4:43" ht="20.25">
      <c r="D177" s="194"/>
      <c r="E177" s="194"/>
      <c r="F177" s="194"/>
      <c r="G177" s="194"/>
      <c r="H177" s="255"/>
      <c r="I177" s="204"/>
      <c r="J177" s="204"/>
      <c r="K177" s="204"/>
      <c r="L177" s="204"/>
      <c r="M177" s="216"/>
      <c r="N177" s="220"/>
      <c r="O177" s="220"/>
      <c r="P177" s="220"/>
      <c r="Q177" s="220"/>
      <c r="R177" s="220"/>
      <c r="S177" s="194"/>
      <c r="T177" s="194"/>
      <c r="U177" s="194"/>
      <c r="V177" s="194"/>
      <c r="W177" s="194"/>
      <c r="X177" s="194"/>
      <c r="Y177" s="194"/>
      <c r="Z177" s="194"/>
      <c r="AA177" s="194"/>
      <c r="AB177" s="194"/>
      <c r="AC177" s="194"/>
      <c r="AD177" s="194"/>
      <c r="AE177" s="194"/>
      <c r="AF177" s="194"/>
      <c r="AG177" s="194"/>
      <c r="AH177" s="194"/>
      <c r="AI177" s="194"/>
      <c r="AJ177" s="194"/>
      <c r="AK177" s="194"/>
      <c r="AL177" s="194"/>
      <c r="AM177" s="194"/>
      <c r="AN177" s="194"/>
      <c r="AO177" s="194"/>
      <c r="AP177" s="194"/>
      <c r="AQ177" s="194"/>
    </row>
    <row r="178" spans="4:43" ht="20.25">
      <c r="D178" s="194"/>
      <c r="E178" s="194"/>
      <c r="F178" s="194"/>
      <c r="G178" s="194"/>
      <c r="H178" s="255"/>
      <c r="I178" s="204"/>
      <c r="J178" s="204"/>
      <c r="K178" s="204"/>
      <c r="L178" s="204"/>
      <c r="M178" s="216"/>
      <c r="N178" s="220"/>
      <c r="O178" s="220"/>
      <c r="P178" s="220"/>
      <c r="Q178" s="220"/>
      <c r="R178" s="220"/>
      <c r="S178" s="194"/>
      <c r="T178" s="194"/>
      <c r="U178" s="194"/>
      <c r="V178" s="194"/>
      <c r="W178" s="194"/>
      <c r="X178" s="194"/>
      <c r="Y178" s="194"/>
      <c r="Z178" s="194"/>
      <c r="AA178" s="194"/>
      <c r="AB178" s="194"/>
      <c r="AC178" s="194"/>
      <c r="AD178" s="194"/>
      <c r="AE178" s="194"/>
      <c r="AF178" s="194"/>
      <c r="AG178" s="194"/>
      <c r="AH178" s="194"/>
      <c r="AI178" s="194"/>
      <c r="AJ178" s="194"/>
      <c r="AK178" s="194"/>
      <c r="AL178" s="194"/>
      <c r="AM178" s="194"/>
      <c r="AN178" s="194"/>
      <c r="AO178" s="194"/>
      <c r="AP178" s="194"/>
      <c r="AQ178" s="194"/>
    </row>
    <row r="179" spans="4:43" ht="20.25">
      <c r="D179" s="194"/>
      <c r="E179" s="194"/>
      <c r="F179" s="194"/>
      <c r="G179" s="194"/>
      <c r="H179" s="255"/>
      <c r="I179" s="204"/>
      <c r="J179" s="204"/>
      <c r="K179" s="204"/>
      <c r="L179" s="204"/>
      <c r="M179" s="216"/>
      <c r="N179" s="220"/>
      <c r="O179" s="220"/>
      <c r="P179" s="220"/>
      <c r="Q179" s="220"/>
      <c r="R179" s="220"/>
      <c r="S179" s="194"/>
      <c r="T179" s="194"/>
      <c r="U179" s="194"/>
      <c r="V179" s="194"/>
      <c r="W179" s="194"/>
      <c r="X179" s="194"/>
      <c r="Y179" s="194"/>
      <c r="Z179" s="194"/>
      <c r="AA179" s="194"/>
      <c r="AB179" s="194"/>
      <c r="AC179" s="194"/>
      <c r="AD179" s="194"/>
      <c r="AE179" s="194"/>
      <c r="AF179" s="194"/>
      <c r="AG179" s="194"/>
      <c r="AH179" s="194"/>
      <c r="AI179" s="194"/>
      <c r="AJ179" s="194"/>
      <c r="AK179" s="194"/>
      <c r="AL179" s="194"/>
      <c r="AM179" s="194"/>
      <c r="AN179" s="194"/>
      <c r="AO179" s="194"/>
      <c r="AP179" s="194"/>
      <c r="AQ179" s="194"/>
    </row>
    <row r="180" spans="4:43" ht="20.25">
      <c r="D180" s="194"/>
      <c r="E180" s="194"/>
      <c r="F180" s="194"/>
      <c r="G180" s="194"/>
      <c r="H180" s="255"/>
      <c r="I180" s="204"/>
      <c r="J180" s="204"/>
      <c r="K180" s="204"/>
      <c r="L180" s="204"/>
      <c r="M180" s="216"/>
      <c r="N180" s="220"/>
      <c r="O180" s="220"/>
      <c r="P180" s="220"/>
      <c r="Q180" s="220"/>
      <c r="R180" s="220"/>
      <c r="S180" s="194"/>
      <c r="T180" s="194"/>
      <c r="U180" s="194"/>
      <c r="V180" s="194"/>
      <c r="W180" s="194"/>
      <c r="X180" s="194"/>
      <c r="Y180" s="194"/>
      <c r="Z180" s="194"/>
      <c r="AA180" s="194"/>
      <c r="AB180" s="194"/>
      <c r="AC180" s="194"/>
      <c r="AD180" s="194"/>
      <c r="AE180" s="194"/>
      <c r="AF180" s="194"/>
      <c r="AG180" s="194"/>
      <c r="AH180" s="194"/>
      <c r="AI180" s="194"/>
      <c r="AJ180" s="194"/>
      <c r="AK180" s="194"/>
      <c r="AL180" s="194"/>
      <c r="AM180" s="194"/>
      <c r="AN180" s="194"/>
      <c r="AO180" s="194"/>
      <c r="AP180" s="194"/>
      <c r="AQ180" s="194"/>
    </row>
    <row r="181" spans="4:43" ht="20.25">
      <c r="D181" s="194"/>
      <c r="E181" s="194"/>
      <c r="F181" s="194"/>
      <c r="G181" s="194"/>
      <c r="H181" s="255"/>
      <c r="I181" s="204"/>
      <c r="J181" s="204"/>
      <c r="K181" s="204"/>
      <c r="L181" s="204"/>
      <c r="M181" s="216"/>
      <c r="N181" s="220"/>
      <c r="O181" s="220"/>
      <c r="P181" s="220"/>
      <c r="Q181" s="220"/>
      <c r="R181" s="220"/>
      <c r="S181" s="194"/>
      <c r="T181" s="194"/>
      <c r="U181" s="194"/>
      <c r="V181" s="194"/>
      <c r="W181" s="194"/>
      <c r="X181" s="194"/>
      <c r="Y181" s="194"/>
      <c r="Z181" s="194"/>
      <c r="AA181" s="194"/>
      <c r="AB181" s="194"/>
      <c r="AC181" s="194"/>
      <c r="AD181" s="194"/>
      <c r="AE181" s="194"/>
      <c r="AF181" s="194"/>
      <c r="AG181" s="194"/>
      <c r="AH181" s="194"/>
      <c r="AI181" s="194"/>
      <c r="AJ181" s="194"/>
      <c r="AK181" s="194"/>
      <c r="AL181" s="194"/>
      <c r="AM181" s="194"/>
      <c r="AN181" s="194"/>
      <c r="AO181" s="194"/>
      <c r="AP181" s="194"/>
      <c r="AQ181" s="194"/>
    </row>
    <row r="182" spans="4:43" ht="20.25">
      <c r="D182" s="194"/>
      <c r="E182" s="194"/>
      <c r="F182" s="194"/>
      <c r="G182" s="194"/>
      <c r="H182" s="255"/>
      <c r="I182" s="204"/>
      <c r="J182" s="204"/>
      <c r="K182" s="204"/>
      <c r="L182" s="204"/>
      <c r="M182" s="216"/>
      <c r="N182" s="220"/>
      <c r="O182" s="220"/>
      <c r="P182" s="220"/>
      <c r="Q182" s="220"/>
      <c r="R182" s="220"/>
      <c r="S182" s="194"/>
      <c r="T182" s="194"/>
      <c r="U182" s="194"/>
      <c r="V182" s="194"/>
      <c r="W182" s="194"/>
      <c r="X182" s="194"/>
      <c r="Y182" s="194"/>
      <c r="Z182" s="194"/>
      <c r="AA182" s="194"/>
      <c r="AB182" s="194"/>
      <c r="AC182" s="194"/>
      <c r="AD182" s="194"/>
      <c r="AE182" s="194"/>
      <c r="AF182" s="194"/>
      <c r="AG182" s="194"/>
      <c r="AH182" s="194"/>
      <c r="AI182" s="194"/>
      <c r="AJ182" s="194"/>
      <c r="AK182" s="194"/>
      <c r="AL182" s="194"/>
      <c r="AM182" s="194"/>
      <c r="AN182" s="194"/>
      <c r="AO182" s="194"/>
      <c r="AP182" s="194"/>
      <c r="AQ182" s="194"/>
    </row>
    <row r="183" spans="4:43" ht="20.25">
      <c r="D183" s="194"/>
      <c r="E183" s="194"/>
      <c r="F183" s="194"/>
      <c r="G183" s="194"/>
      <c r="H183" s="255"/>
      <c r="I183" s="204"/>
      <c r="J183" s="204"/>
      <c r="K183" s="204"/>
      <c r="L183" s="204"/>
      <c r="M183" s="216"/>
      <c r="N183" s="220"/>
      <c r="O183" s="220"/>
      <c r="P183" s="220"/>
      <c r="Q183" s="220"/>
      <c r="R183" s="220"/>
      <c r="S183" s="194"/>
      <c r="T183" s="194"/>
      <c r="U183" s="194"/>
      <c r="V183" s="194"/>
      <c r="W183" s="194"/>
      <c r="X183" s="194"/>
      <c r="Y183" s="194"/>
      <c r="Z183" s="194"/>
      <c r="AA183" s="194"/>
      <c r="AB183" s="194"/>
      <c r="AC183" s="194"/>
      <c r="AD183" s="194"/>
      <c r="AE183" s="194"/>
      <c r="AF183" s="194"/>
      <c r="AG183" s="194"/>
      <c r="AH183" s="194"/>
      <c r="AI183" s="194"/>
      <c r="AJ183" s="194"/>
      <c r="AK183" s="194"/>
      <c r="AL183" s="194"/>
      <c r="AM183" s="194"/>
      <c r="AN183" s="194"/>
      <c r="AO183" s="194"/>
      <c r="AP183" s="194"/>
      <c r="AQ183" s="194"/>
    </row>
    <row r="184" spans="4:43" ht="20.25">
      <c r="D184" s="194"/>
      <c r="E184" s="194"/>
      <c r="F184" s="194"/>
      <c r="G184" s="194"/>
      <c r="H184" s="255"/>
      <c r="I184" s="204"/>
      <c r="J184" s="204"/>
      <c r="K184" s="204"/>
      <c r="L184" s="204"/>
      <c r="M184" s="216"/>
      <c r="N184" s="220"/>
      <c r="O184" s="220"/>
      <c r="P184" s="220"/>
      <c r="Q184" s="220"/>
      <c r="R184" s="220"/>
      <c r="S184" s="194"/>
      <c r="T184" s="194"/>
      <c r="U184" s="194"/>
      <c r="V184" s="194"/>
      <c r="W184" s="194"/>
      <c r="X184" s="194"/>
      <c r="Y184" s="194"/>
      <c r="Z184" s="194"/>
      <c r="AA184" s="194"/>
      <c r="AB184" s="194"/>
      <c r="AC184" s="194"/>
      <c r="AD184" s="194"/>
      <c r="AE184" s="194"/>
      <c r="AF184" s="194"/>
      <c r="AG184" s="194"/>
      <c r="AH184" s="194"/>
      <c r="AI184" s="194"/>
      <c r="AJ184" s="194"/>
      <c r="AK184" s="194"/>
      <c r="AL184" s="194"/>
      <c r="AM184" s="194"/>
      <c r="AN184" s="194"/>
      <c r="AO184" s="194"/>
      <c r="AP184" s="194"/>
      <c r="AQ184" s="194"/>
    </row>
    <row r="185" spans="4:43" ht="20.25">
      <c r="D185" s="194"/>
      <c r="E185" s="194"/>
      <c r="F185" s="194"/>
      <c r="G185" s="194"/>
      <c r="H185" s="255"/>
      <c r="I185" s="204"/>
      <c r="J185" s="204"/>
      <c r="K185" s="204"/>
      <c r="L185" s="204"/>
      <c r="M185" s="216"/>
      <c r="N185" s="220"/>
      <c r="O185" s="220"/>
      <c r="P185" s="220"/>
      <c r="Q185" s="220"/>
      <c r="R185" s="220"/>
      <c r="S185" s="194"/>
      <c r="T185" s="194"/>
      <c r="U185" s="194"/>
      <c r="V185" s="194"/>
      <c r="W185" s="194"/>
      <c r="X185" s="194"/>
      <c r="Y185" s="194"/>
      <c r="Z185" s="194"/>
      <c r="AA185" s="194"/>
      <c r="AB185" s="194"/>
      <c r="AC185" s="194"/>
      <c r="AD185" s="194"/>
      <c r="AE185" s="194"/>
      <c r="AF185" s="194"/>
      <c r="AG185" s="194"/>
      <c r="AH185" s="194"/>
      <c r="AI185" s="194"/>
      <c r="AJ185" s="194"/>
      <c r="AK185" s="194"/>
      <c r="AL185" s="194"/>
      <c r="AM185" s="194"/>
      <c r="AN185" s="194"/>
      <c r="AO185" s="194"/>
      <c r="AP185" s="194"/>
      <c r="AQ185" s="194"/>
    </row>
    <row r="186" spans="4:43" ht="20.25">
      <c r="D186" s="194"/>
      <c r="E186" s="194"/>
      <c r="F186" s="194"/>
      <c r="G186" s="194"/>
      <c r="H186" s="255"/>
      <c r="I186" s="204"/>
      <c r="J186" s="204"/>
      <c r="K186" s="204"/>
      <c r="L186" s="204"/>
      <c r="M186" s="216"/>
      <c r="N186" s="220"/>
      <c r="O186" s="220"/>
      <c r="P186" s="220"/>
      <c r="Q186" s="220"/>
      <c r="R186" s="220"/>
      <c r="S186" s="194"/>
      <c r="T186" s="194"/>
      <c r="U186" s="194"/>
      <c r="V186" s="194"/>
      <c r="W186" s="194"/>
      <c r="X186" s="194"/>
      <c r="Y186" s="194"/>
      <c r="Z186" s="194"/>
      <c r="AA186" s="194"/>
      <c r="AB186" s="194"/>
      <c r="AC186" s="194"/>
      <c r="AD186" s="194"/>
      <c r="AE186" s="194"/>
      <c r="AF186" s="194"/>
      <c r="AG186" s="194"/>
      <c r="AH186" s="194"/>
      <c r="AI186" s="194"/>
      <c r="AJ186" s="194"/>
      <c r="AK186" s="194"/>
      <c r="AL186" s="194"/>
      <c r="AM186" s="194"/>
      <c r="AN186" s="194"/>
      <c r="AO186" s="194"/>
      <c r="AP186" s="194"/>
      <c r="AQ186" s="194"/>
    </row>
    <row r="187" spans="4:43" ht="20.25">
      <c r="D187" s="194"/>
      <c r="E187" s="194"/>
      <c r="F187" s="194"/>
      <c r="G187" s="194"/>
      <c r="H187" s="255"/>
      <c r="I187" s="204"/>
      <c r="J187" s="204"/>
      <c r="K187" s="204"/>
      <c r="L187" s="204"/>
      <c r="M187" s="216"/>
      <c r="N187" s="220"/>
      <c r="O187" s="220"/>
      <c r="P187" s="220"/>
      <c r="Q187" s="220"/>
      <c r="R187" s="220"/>
      <c r="S187" s="194"/>
      <c r="T187" s="194"/>
      <c r="U187" s="194"/>
      <c r="V187" s="194"/>
      <c r="W187" s="194"/>
      <c r="X187" s="194"/>
      <c r="Y187" s="194"/>
      <c r="Z187" s="194"/>
      <c r="AA187" s="194"/>
      <c r="AB187" s="194"/>
      <c r="AC187" s="194"/>
      <c r="AD187" s="194"/>
      <c r="AE187" s="194"/>
      <c r="AF187" s="194"/>
      <c r="AG187" s="194"/>
      <c r="AH187" s="194"/>
      <c r="AI187" s="194"/>
      <c r="AJ187" s="194"/>
      <c r="AK187" s="194"/>
      <c r="AL187" s="194"/>
      <c r="AM187" s="194"/>
      <c r="AN187" s="194"/>
      <c r="AO187" s="194"/>
      <c r="AP187" s="194"/>
      <c r="AQ187" s="194"/>
    </row>
    <row r="188" spans="4:43" ht="20.25">
      <c r="D188" s="194"/>
      <c r="E188" s="194"/>
      <c r="F188" s="194"/>
      <c r="G188" s="194"/>
      <c r="H188" s="255"/>
      <c r="I188" s="204"/>
      <c r="J188" s="204"/>
      <c r="K188" s="204"/>
      <c r="L188" s="204"/>
      <c r="M188" s="216"/>
      <c r="N188" s="220"/>
      <c r="O188" s="220"/>
      <c r="P188" s="220"/>
      <c r="Q188" s="220"/>
      <c r="R188" s="220"/>
      <c r="S188" s="194"/>
      <c r="T188" s="194"/>
      <c r="U188" s="194"/>
      <c r="V188" s="194"/>
      <c r="W188" s="194"/>
      <c r="X188" s="194"/>
      <c r="Y188" s="194"/>
      <c r="Z188" s="194"/>
      <c r="AA188" s="194"/>
      <c r="AB188" s="194"/>
      <c r="AC188" s="194"/>
      <c r="AD188" s="194"/>
      <c r="AE188" s="194"/>
      <c r="AF188" s="194"/>
      <c r="AG188" s="194"/>
      <c r="AH188" s="194"/>
      <c r="AI188" s="194"/>
      <c r="AJ188" s="194"/>
      <c r="AK188" s="194"/>
      <c r="AL188" s="194"/>
      <c r="AM188" s="194"/>
      <c r="AN188" s="194"/>
      <c r="AO188" s="194"/>
      <c r="AP188" s="194"/>
      <c r="AQ188" s="194"/>
    </row>
    <row r="189" spans="4:43" ht="20.25">
      <c r="D189" s="194"/>
      <c r="E189" s="194"/>
      <c r="F189" s="194"/>
      <c r="G189" s="194"/>
      <c r="H189" s="255"/>
      <c r="I189" s="204"/>
      <c r="J189" s="204"/>
      <c r="K189" s="204"/>
      <c r="L189" s="204"/>
      <c r="M189" s="216"/>
      <c r="N189" s="220"/>
      <c r="O189" s="220"/>
      <c r="P189" s="220"/>
      <c r="Q189" s="220"/>
      <c r="R189" s="220"/>
      <c r="S189" s="194"/>
      <c r="T189" s="194"/>
      <c r="U189" s="194"/>
      <c r="V189" s="194"/>
      <c r="W189" s="194"/>
      <c r="X189" s="194"/>
      <c r="Y189" s="194"/>
      <c r="Z189" s="194"/>
      <c r="AA189" s="194"/>
      <c r="AB189" s="194"/>
      <c r="AC189" s="194"/>
      <c r="AD189" s="194"/>
      <c r="AE189" s="194"/>
      <c r="AF189" s="194"/>
      <c r="AG189" s="194"/>
      <c r="AH189" s="194"/>
      <c r="AI189" s="194"/>
      <c r="AJ189" s="194"/>
      <c r="AK189" s="194"/>
      <c r="AL189" s="194"/>
      <c r="AM189" s="194"/>
      <c r="AN189" s="194"/>
      <c r="AO189" s="194"/>
      <c r="AP189" s="194"/>
      <c r="AQ189" s="194"/>
    </row>
    <row r="190" spans="4:43" ht="20.25">
      <c r="D190" s="194"/>
      <c r="E190" s="194"/>
      <c r="F190" s="194"/>
      <c r="G190" s="194"/>
      <c r="H190" s="255"/>
      <c r="I190" s="204"/>
      <c r="J190" s="204"/>
      <c r="K190" s="204"/>
      <c r="L190" s="204"/>
      <c r="M190" s="216"/>
      <c r="N190" s="220"/>
      <c r="O190" s="220"/>
      <c r="P190" s="220"/>
      <c r="Q190" s="220"/>
      <c r="R190" s="220"/>
      <c r="S190" s="194"/>
      <c r="T190" s="194"/>
      <c r="U190" s="194"/>
      <c r="V190" s="194"/>
      <c r="W190" s="194"/>
      <c r="X190" s="194"/>
      <c r="Y190" s="194"/>
      <c r="Z190" s="194"/>
      <c r="AA190" s="194"/>
      <c r="AB190" s="194"/>
      <c r="AC190" s="194"/>
      <c r="AD190" s="194"/>
      <c r="AE190" s="194"/>
      <c r="AF190" s="194"/>
      <c r="AG190" s="194"/>
      <c r="AH190" s="194"/>
      <c r="AI190" s="194"/>
      <c r="AJ190" s="194"/>
      <c r="AK190" s="194"/>
      <c r="AL190" s="194"/>
      <c r="AM190" s="194"/>
      <c r="AN190" s="194"/>
      <c r="AO190" s="194"/>
      <c r="AP190" s="194"/>
      <c r="AQ190" s="194"/>
    </row>
    <row r="191" spans="4:43" ht="20.25">
      <c r="D191" s="194"/>
      <c r="E191" s="194"/>
      <c r="F191" s="194"/>
      <c r="G191" s="194"/>
      <c r="H191" s="255"/>
      <c r="I191" s="204"/>
      <c r="J191" s="204"/>
      <c r="K191" s="204"/>
      <c r="L191" s="204"/>
      <c r="M191" s="216"/>
      <c r="N191" s="220"/>
      <c r="O191" s="220"/>
      <c r="P191" s="220"/>
      <c r="Q191" s="220"/>
      <c r="R191" s="220"/>
      <c r="S191" s="194"/>
      <c r="T191" s="194"/>
      <c r="U191" s="194"/>
      <c r="V191" s="194"/>
      <c r="W191" s="194"/>
      <c r="X191" s="194"/>
      <c r="Y191" s="194"/>
      <c r="Z191" s="194"/>
      <c r="AA191" s="194"/>
      <c r="AB191" s="194"/>
      <c r="AC191" s="194"/>
      <c r="AD191" s="194"/>
      <c r="AE191" s="194"/>
      <c r="AF191" s="194"/>
      <c r="AG191" s="194"/>
      <c r="AH191" s="194"/>
      <c r="AI191" s="194"/>
      <c r="AJ191" s="194"/>
      <c r="AK191" s="194"/>
      <c r="AL191" s="194"/>
      <c r="AM191" s="194"/>
      <c r="AN191" s="194"/>
      <c r="AO191" s="194"/>
      <c r="AP191" s="194"/>
      <c r="AQ191" s="194"/>
    </row>
    <row r="192" spans="4:43" ht="20.25">
      <c r="D192" s="194"/>
      <c r="E192" s="194"/>
      <c r="F192" s="194"/>
      <c r="G192" s="194"/>
      <c r="H192" s="255"/>
      <c r="I192" s="204"/>
      <c r="J192" s="204"/>
      <c r="K192" s="204"/>
      <c r="L192" s="204"/>
      <c r="M192" s="216"/>
      <c r="N192" s="220"/>
      <c r="O192" s="220"/>
      <c r="P192" s="220"/>
      <c r="Q192" s="220"/>
      <c r="R192" s="220"/>
      <c r="S192" s="194"/>
      <c r="T192" s="194"/>
      <c r="U192" s="194"/>
      <c r="V192" s="194"/>
      <c r="W192" s="194"/>
      <c r="X192" s="194"/>
      <c r="Y192" s="194"/>
      <c r="Z192" s="194"/>
      <c r="AA192" s="194"/>
      <c r="AB192" s="194"/>
      <c r="AC192" s="194"/>
      <c r="AD192" s="194"/>
      <c r="AE192" s="194"/>
      <c r="AF192" s="194"/>
      <c r="AG192" s="194"/>
      <c r="AH192" s="194"/>
      <c r="AI192" s="194"/>
      <c r="AJ192" s="194"/>
      <c r="AK192" s="194"/>
      <c r="AL192" s="194"/>
      <c r="AM192" s="194"/>
      <c r="AN192" s="194"/>
      <c r="AO192" s="194"/>
      <c r="AP192" s="194"/>
      <c r="AQ192" s="194"/>
    </row>
    <row r="193" spans="4:43" ht="20.25">
      <c r="D193" s="194"/>
      <c r="E193" s="194"/>
      <c r="F193" s="194"/>
      <c r="G193" s="194"/>
      <c r="H193" s="255"/>
      <c r="I193" s="204"/>
      <c r="J193" s="204"/>
      <c r="K193" s="204"/>
      <c r="L193" s="204"/>
      <c r="M193" s="216"/>
      <c r="N193" s="220"/>
      <c r="O193" s="220"/>
      <c r="P193" s="220"/>
      <c r="Q193" s="220"/>
      <c r="R193" s="220"/>
      <c r="S193" s="194"/>
      <c r="T193" s="194"/>
      <c r="U193" s="194"/>
      <c r="V193" s="194"/>
      <c r="W193" s="194"/>
      <c r="X193" s="194"/>
      <c r="Y193" s="194"/>
      <c r="Z193" s="194"/>
      <c r="AA193" s="194"/>
      <c r="AB193" s="194"/>
      <c r="AC193" s="194"/>
      <c r="AD193" s="194"/>
      <c r="AE193" s="194"/>
      <c r="AF193" s="194"/>
      <c r="AG193" s="194"/>
      <c r="AH193" s="194"/>
      <c r="AI193" s="194"/>
      <c r="AJ193" s="194"/>
      <c r="AK193" s="194"/>
      <c r="AL193" s="194"/>
      <c r="AM193" s="194"/>
      <c r="AN193" s="194"/>
      <c r="AO193" s="194"/>
      <c r="AP193" s="194"/>
      <c r="AQ193" s="194"/>
    </row>
    <row r="194" spans="4:43" ht="20.25">
      <c r="D194" s="194"/>
      <c r="E194" s="194"/>
      <c r="F194" s="194"/>
      <c r="G194" s="194"/>
      <c r="H194" s="255"/>
      <c r="I194" s="204"/>
      <c r="J194" s="204"/>
      <c r="K194" s="204"/>
      <c r="L194" s="204"/>
      <c r="M194" s="216"/>
      <c r="N194" s="220"/>
      <c r="O194" s="220"/>
      <c r="P194" s="220"/>
      <c r="Q194" s="220"/>
      <c r="R194" s="220"/>
      <c r="S194" s="194"/>
      <c r="T194" s="194"/>
      <c r="U194" s="194"/>
      <c r="V194" s="194"/>
      <c r="W194" s="194"/>
      <c r="X194" s="194"/>
      <c r="Y194" s="194"/>
      <c r="Z194" s="194"/>
      <c r="AA194" s="194"/>
      <c r="AB194" s="194"/>
      <c r="AC194" s="194"/>
      <c r="AD194" s="194"/>
      <c r="AE194" s="194"/>
      <c r="AF194" s="194"/>
      <c r="AG194" s="194"/>
      <c r="AH194" s="194"/>
      <c r="AI194" s="194"/>
      <c r="AJ194" s="194"/>
      <c r="AK194" s="194"/>
      <c r="AL194" s="194"/>
      <c r="AM194" s="194"/>
      <c r="AN194" s="194"/>
      <c r="AO194" s="194"/>
      <c r="AP194" s="194"/>
      <c r="AQ194" s="194"/>
    </row>
    <row r="195" spans="4:43" ht="20.25">
      <c r="D195" s="194"/>
      <c r="E195" s="194"/>
      <c r="F195" s="194"/>
      <c r="G195" s="194"/>
      <c r="H195" s="255"/>
      <c r="I195" s="204"/>
      <c r="J195" s="204"/>
      <c r="K195" s="204"/>
      <c r="L195" s="204"/>
      <c r="M195" s="216"/>
      <c r="N195" s="220"/>
      <c r="O195" s="220"/>
      <c r="P195" s="220"/>
      <c r="Q195" s="220"/>
      <c r="R195" s="220"/>
      <c r="S195" s="194"/>
      <c r="T195" s="194"/>
      <c r="U195" s="194"/>
      <c r="V195" s="194"/>
      <c r="W195" s="194"/>
      <c r="X195" s="194"/>
      <c r="Y195" s="194"/>
      <c r="Z195" s="194"/>
      <c r="AA195" s="194"/>
      <c r="AB195" s="194"/>
      <c r="AC195" s="194"/>
      <c r="AD195" s="194"/>
      <c r="AE195" s="194"/>
      <c r="AF195" s="194"/>
      <c r="AG195" s="194"/>
      <c r="AH195" s="194"/>
      <c r="AI195" s="194"/>
      <c r="AJ195" s="194"/>
      <c r="AK195" s="194"/>
      <c r="AL195" s="194"/>
      <c r="AM195" s="194"/>
      <c r="AN195" s="194"/>
      <c r="AO195" s="194"/>
      <c r="AP195" s="194"/>
      <c r="AQ195" s="194"/>
    </row>
    <row r="196" spans="4:43" ht="20.25">
      <c r="D196" s="194"/>
      <c r="E196" s="194"/>
      <c r="F196" s="194"/>
      <c r="G196" s="194"/>
      <c r="H196" s="255"/>
      <c r="I196" s="204"/>
      <c r="J196" s="204"/>
      <c r="K196" s="204"/>
      <c r="L196" s="204"/>
      <c r="M196" s="216"/>
      <c r="N196" s="220"/>
      <c r="O196" s="220"/>
      <c r="P196" s="220"/>
      <c r="Q196" s="220"/>
      <c r="R196" s="220"/>
      <c r="S196" s="194"/>
      <c r="T196" s="194"/>
      <c r="U196" s="194"/>
      <c r="V196" s="194"/>
      <c r="W196" s="194"/>
      <c r="X196" s="194"/>
      <c r="Y196" s="194"/>
      <c r="Z196" s="194"/>
      <c r="AA196" s="194"/>
      <c r="AB196" s="194"/>
      <c r="AC196" s="194"/>
      <c r="AD196" s="194"/>
      <c r="AE196" s="194"/>
      <c r="AF196" s="194"/>
      <c r="AG196" s="194"/>
      <c r="AH196" s="194"/>
      <c r="AI196" s="194"/>
      <c r="AJ196" s="194"/>
      <c r="AK196" s="194"/>
      <c r="AL196" s="194"/>
      <c r="AM196" s="194"/>
      <c r="AN196" s="194"/>
      <c r="AO196" s="194"/>
      <c r="AP196" s="194"/>
      <c r="AQ196" s="194"/>
    </row>
    <row r="197" spans="4:43" ht="20.25">
      <c r="D197" s="194"/>
      <c r="E197" s="194"/>
      <c r="F197" s="194"/>
      <c r="G197" s="194"/>
      <c r="H197" s="255"/>
      <c r="I197" s="204"/>
      <c r="J197" s="204"/>
      <c r="K197" s="204"/>
      <c r="L197" s="204"/>
      <c r="M197" s="216"/>
      <c r="N197" s="220"/>
      <c r="O197" s="220"/>
      <c r="P197" s="220"/>
      <c r="Q197" s="220"/>
      <c r="R197" s="220"/>
      <c r="S197" s="194"/>
      <c r="T197" s="194"/>
      <c r="U197" s="194"/>
      <c r="V197" s="194"/>
      <c r="W197" s="194"/>
      <c r="X197" s="194"/>
      <c r="Y197" s="194"/>
      <c r="Z197" s="194"/>
      <c r="AA197" s="194"/>
      <c r="AB197" s="194"/>
      <c r="AC197" s="194"/>
      <c r="AD197" s="194"/>
      <c r="AE197" s="194"/>
      <c r="AF197" s="194"/>
      <c r="AG197" s="194"/>
      <c r="AH197" s="194"/>
      <c r="AI197" s="194"/>
      <c r="AJ197" s="194"/>
      <c r="AK197" s="194"/>
      <c r="AL197" s="194"/>
      <c r="AM197" s="194"/>
      <c r="AN197" s="194"/>
      <c r="AO197" s="194"/>
      <c r="AP197" s="194"/>
      <c r="AQ197" s="194"/>
    </row>
    <row r="198" spans="4:43" ht="20.25">
      <c r="D198" s="194"/>
      <c r="E198" s="194"/>
      <c r="F198" s="194"/>
      <c r="G198" s="194"/>
      <c r="H198" s="255"/>
      <c r="I198" s="204"/>
      <c r="J198" s="204"/>
      <c r="K198" s="204"/>
      <c r="L198" s="204"/>
      <c r="M198" s="216"/>
      <c r="N198" s="220"/>
      <c r="O198" s="220"/>
      <c r="P198" s="220"/>
      <c r="Q198" s="220"/>
      <c r="R198" s="220"/>
      <c r="S198" s="194"/>
      <c r="T198" s="194"/>
      <c r="U198" s="194"/>
      <c r="V198" s="194"/>
      <c r="W198" s="194"/>
      <c r="X198" s="194"/>
      <c r="Y198" s="194"/>
      <c r="Z198" s="194"/>
      <c r="AA198" s="194"/>
      <c r="AB198" s="194"/>
      <c r="AC198" s="194"/>
      <c r="AD198" s="194"/>
      <c r="AE198" s="194"/>
      <c r="AF198" s="194"/>
      <c r="AG198" s="194"/>
      <c r="AH198" s="194"/>
      <c r="AI198" s="194"/>
      <c r="AJ198" s="194"/>
      <c r="AK198" s="194"/>
      <c r="AL198" s="194"/>
      <c r="AM198" s="194"/>
      <c r="AN198" s="194"/>
      <c r="AO198" s="194"/>
      <c r="AP198" s="194"/>
      <c r="AQ198" s="194"/>
    </row>
    <row r="199" spans="4:43" ht="20.25">
      <c r="D199" s="194"/>
      <c r="E199" s="194"/>
      <c r="F199" s="194"/>
      <c r="G199" s="194"/>
      <c r="H199" s="255"/>
      <c r="I199" s="204"/>
      <c r="J199" s="204"/>
      <c r="K199" s="204"/>
      <c r="L199" s="204"/>
      <c r="M199" s="216"/>
      <c r="N199" s="220"/>
      <c r="O199" s="220"/>
      <c r="P199" s="220"/>
      <c r="Q199" s="220"/>
      <c r="R199" s="220"/>
      <c r="S199" s="194"/>
      <c r="T199" s="194"/>
      <c r="U199" s="194"/>
      <c r="V199" s="194"/>
      <c r="W199" s="194"/>
      <c r="X199" s="194"/>
      <c r="Y199" s="194"/>
      <c r="Z199" s="194"/>
      <c r="AA199" s="194"/>
      <c r="AB199" s="194"/>
      <c r="AC199" s="194"/>
      <c r="AD199" s="194"/>
      <c r="AE199" s="194"/>
      <c r="AF199" s="194"/>
      <c r="AG199" s="194"/>
      <c r="AH199" s="194"/>
      <c r="AI199" s="194"/>
      <c r="AJ199" s="194"/>
      <c r="AK199" s="194"/>
      <c r="AL199" s="194"/>
      <c r="AM199" s="194"/>
      <c r="AN199" s="194"/>
      <c r="AO199" s="194"/>
      <c r="AP199" s="194"/>
      <c r="AQ199" s="194"/>
    </row>
    <row r="200" spans="4:43" ht="20.25">
      <c r="D200" s="194"/>
      <c r="E200" s="194"/>
      <c r="F200" s="194"/>
      <c r="G200" s="194"/>
      <c r="H200" s="255"/>
      <c r="I200" s="204"/>
      <c r="J200" s="204"/>
      <c r="K200" s="204"/>
      <c r="L200" s="204"/>
      <c r="M200" s="216"/>
      <c r="N200" s="220"/>
      <c r="O200" s="220"/>
      <c r="P200" s="220"/>
      <c r="Q200" s="220"/>
      <c r="R200" s="220"/>
      <c r="S200" s="194"/>
      <c r="T200" s="194"/>
      <c r="U200" s="194"/>
      <c r="V200" s="194"/>
      <c r="W200" s="194"/>
      <c r="X200" s="194"/>
      <c r="Y200" s="194"/>
      <c r="Z200" s="194"/>
      <c r="AA200" s="194"/>
      <c r="AB200" s="194"/>
      <c r="AC200" s="194"/>
      <c r="AD200" s="194"/>
      <c r="AE200" s="194"/>
      <c r="AF200" s="194"/>
      <c r="AG200" s="194"/>
      <c r="AH200" s="194"/>
      <c r="AI200" s="194"/>
      <c r="AJ200" s="194"/>
      <c r="AK200" s="194"/>
      <c r="AL200" s="194"/>
      <c r="AM200" s="194"/>
      <c r="AN200" s="194"/>
      <c r="AO200" s="194"/>
      <c r="AP200" s="194"/>
      <c r="AQ200" s="194"/>
    </row>
    <row r="201" spans="4:43" ht="20.25">
      <c r="D201" s="194"/>
      <c r="E201" s="194"/>
      <c r="F201" s="194"/>
      <c r="G201" s="194"/>
      <c r="H201" s="255"/>
      <c r="I201" s="204"/>
      <c r="J201" s="204"/>
      <c r="K201" s="204"/>
      <c r="L201" s="204"/>
      <c r="M201" s="216"/>
      <c r="N201" s="220"/>
      <c r="O201" s="220"/>
      <c r="P201" s="220"/>
      <c r="Q201" s="220"/>
      <c r="R201" s="220"/>
      <c r="S201" s="194"/>
      <c r="T201" s="194"/>
      <c r="U201" s="194"/>
      <c r="V201" s="194"/>
      <c r="W201" s="194"/>
      <c r="X201" s="194"/>
      <c r="Y201" s="194"/>
      <c r="Z201" s="194"/>
      <c r="AA201" s="194"/>
      <c r="AB201" s="194"/>
      <c r="AC201" s="194"/>
      <c r="AD201" s="194"/>
      <c r="AE201" s="194"/>
      <c r="AF201" s="194"/>
      <c r="AG201" s="194"/>
      <c r="AH201" s="194"/>
      <c r="AI201" s="194"/>
      <c r="AJ201" s="194"/>
      <c r="AK201" s="194"/>
      <c r="AL201" s="194"/>
      <c r="AM201" s="194"/>
      <c r="AN201" s="194"/>
      <c r="AO201" s="194"/>
      <c r="AP201" s="194"/>
      <c r="AQ201" s="194"/>
    </row>
    <row r="202" spans="4:43" ht="20.25">
      <c r="D202" s="194"/>
      <c r="E202" s="194"/>
      <c r="F202" s="194"/>
      <c r="G202" s="194"/>
      <c r="H202" s="255"/>
      <c r="I202" s="204"/>
      <c r="J202" s="204"/>
      <c r="K202" s="204"/>
      <c r="L202" s="204"/>
      <c r="M202" s="216"/>
      <c r="N202" s="220"/>
      <c r="O202" s="220"/>
      <c r="P202" s="220"/>
      <c r="Q202" s="220"/>
      <c r="R202" s="220"/>
      <c r="S202" s="194"/>
      <c r="T202" s="194"/>
      <c r="U202" s="194"/>
      <c r="V202" s="194"/>
      <c r="W202" s="194"/>
      <c r="X202" s="194"/>
      <c r="Y202" s="194"/>
      <c r="Z202" s="194"/>
      <c r="AA202" s="194"/>
      <c r="AB202" s="194"/>
      <c r="AC202" s="194"/>
      <c r="AD202" s="194"/>
      <c r="AE202" s="194"/>
      <c r="AF202" s="194"/>
      <c r="AG202" s="194"/>
      <c r="AH202" s="194"/>
      <c r="AI202" s="194"/>
      <c r="AJ202" s="194"/>
      <c r="AK202" s="194"/>
      <c r="AL202" s="194"/>
      <c r="AM202" s="194"/>
      <c r="AN202" s="194"/>
      <c r="AO202" s="194"/>
      <c r="AP202" s="194"/>
      <c r="AQ202" s="194"/>
    </row>
    <row r="203" spans="4:43" ht="20.25">
      <c r="D203" s="194"/>
      <c r="E203" s="194"/>
      <c r="F203" s="194"/>
      <c r="G203" s="194"/>
      <c r="H203" s="255"/>
      <c r="I203" s="204"/>
      <c r="J203" s="204"/>
      <c r="K203" s="204"/>
      <c r="L203" s="204"/>
      <c r="M203" s="216"/>
      <c r="N203" s="220"/>
      <c r="O203" s="220"/>
      <c r="P203" s="220"/>
      <c r="Q203" s="220"/>
      <c r="R203" s="220"/>
      <c r="S203" s="194"/>
      <c r="T203" s="194"/>
      <c r="U203" s="194"/>
      <c r="V203" s="194"/>
      <c r="W203" s="194"/>
      <c r="X203" s="194"/>
      <c r="Y203" s="194"/>
      <c r="Z203" s="194"/>
      <c r="AA203" s="194"/>
      <c r="AB203" s="194"/>
      <c r="AC203" s="194"/>
      <c r="AD203" s="194"/>
      <c r="AE203" s="194"/>
      <c r="AF203" s="194"/>
      <c r="AG203" s="194"/>
      <c r="AH203" s="194"/>
      <c r="AI203" s="194"/>
      <c r="AJ203" s="194"/>
      <c r="AK203" s="194"/>
      <c r="AL203" s="194"/>
      <c r="AM203" s="194"/>
      <c r="AN203" s="194"/>
      <c r="AO203" s="194"/>
      <c r="AP203" s="194"/>
      <c r="AQ203" s="194"/>
    </row>
    <row r="204" spans="4:43" ht="20.25">
      <c r="D204" s="194"/>
      <c r="E204" s="194"/>
      <c r="F204" s="194"/>
      <c r="G204" s="194"/>
      <c r="H204" s="255"/>
      <c r="I204" s="204"/>
      <c r="J204" s="204"/>
      <c r="K204" s="204"/>
      <c r="L204" s="204"/>
      <c r="M204" s="216"/>
      <c r="N204" s="220"/>
      <c r="O204" s="220"/>
      <c r="P204" s="220"/>
      <c r="Q204" s="220"/>
      <c r="R204" s="220"/>
      <c r="S204" s="194"/>
      <c r="T204" s="194"/>
      <c r="U204" s="194"/>
      <c r="V204" s="194"/>
      <c r="W204" s="194"/>
      <c r="X204" s="194"/>
      <c r="Y204" s="194"/>
      <c r="Z204" s="194"/>
      <c r="AA204" s="194"/>
      <c r="AB204" s="194"/>
      <c r="AC204" s="194"/>
      <c r="AD204" s="194"/>
      <c r="AE204" s="194"/>
      <c r="AF204" s="194"/>
      <c r="AG204" s="194"/>
      <c r="AH204" s="194"/>
      <c r="AI204" s="194"/>
      <c r="AJ204" s="194"/>
      <c r="AK204" s="194"/>
      <c r="AL204" s="194"/>
      <c r="AM204" s="194"/>
      <c r="AN204" s="194"/>
      <c r="AO204" s="194"/>
      <c r="AP204" s="194"/>
      <c r="AQ204" s="194"/>
    </row>
    <row r="205" spans="4:43" ht="20.25">
      <c r="D205" s="194"/>
      <c r="E205" s="194"/>
      <c r="F205" s="194"/>
      <c r="G205" s="194"/>
      <c r="H205" s="255"/>
      <c r="I205" s="204"/>
      <c r="J205" s="204"/>
      <c r="K205" s="204"/>
      <c r="L205" s="204"/>
      <c r="M205" s="216"/>
      <c r="N205" s="220"/>
      <c r="O205" s="220"/>
      <c r="P205" s="220"/>
      <c r="Q205" s="220"/>
      <c r="R205" s="220"/>
      <c r="S205" s="194"/>
      <c r="T205" s="194"/>
      <c r="U205" s="194"/>
      <c r="V205" s="194"/>
      <c r="W205" s="194"/>
      <c r="X205" s="194"/>
      <c r="Y205" s="194"/>
      <c r="Z205" s="194"/>
      <c r="AA205" s="194"/>
      <c r="AB205" s="194"/>
      <c r="AC205" s="194"/>
      <c r="AD205" s="194"/>
      <c r="AE205" s="194"/>
      <c r="AF205" s="194"/>
      <c r="AG205" s="194"/>
      <c r="AH205" s="194"/>
      <c r="AI205" s="194"/>
      <c r="AJ205" s="194"/>
      <c r="AK205" s="194"/>
      <c r="AL205" s="194"/>
      <c r="AM205" s="194"/>
      <c r="AN205" s="194"/>
      <c r="AO205" s="194"/>
      <c r="AP205" s="194"/>
      <c r="AQ205" s="194"/>
    </row>
    <row r="206" spans="4:43" ht="20.25">
      <c r="D206" s="194"/>
      <c r="E206" s="194"/>
      <c r="F206" s="194"/>
      <c r="G206" s="194"/>
      <c r="H206" s="255"/>
      <c r="I206" s="204"/>
      <c r="J206" s="204"/>
      <c r="K206" s="204"/>
      <c r="L206" s="204"/>
      <c r="M206" s="216"/>
      <c r="N206" s="220"/>
      <c r="O206" s="220"/>
      <c r="P206" s="220"/>
      <c r="Q206" s="220"/>
      <c r="R206" s="220"/>
      <c r="S206" s="194"/>
      <c r="T206" s="194"/>
      <c r="U206" s="194"/>
      <c r="V206" s="194"/>
      <c r="W206" s="194"/>
      <c r="X206" s="194"/>
      <c r="Y206" s="194"/>
      <c r="Z206" s="194"/>
      <c r="AA206" s="194"/>
      <c r="AB206" s="194"/>
      <c r="AC206" s="194"/>
      <c r="AD206" s="194"/>
      <c r="AE206" s="194"/>
      <c r="AF206" s="194"/>
      <c r="AG206" s="194"/>
      <c r="AH206" s="194"/>
      <c r="AI206" s="194"/>
      <c r="AJ206" s="194"/>
      <c r="AK206" s="194"/>
      <c r="AL206" s="194"/>
      <c r="AM206" s="194"/>
      <c r="AN206" s="194"/>
      <c r="AO206" s="194"/>
      <c r="AP206" s="194"/>
      <c r="AQ206" s="194"/>
    </row>
    <row r="207" spans="4:43" ht="20.25">
      <c r="D207" s="194"/>
      <c r="E207" s="194"/>
      <c r="F207" s="194"/>
      <c r="G207" s="194"/>
      <c r="H207" s="255"/>
      <c r="I207" s="204"/>
      <c r="J207" s="204"/>
      <c r="K207" s="204"/>
      <c r="L207" s="204"/>
      <c r="M207" s="216"/>
      <c r="N207" s="220"/>
      <c r="O207" s="220"/>
      <c r="P207" s="220"/>
      <c r="Q207" s="220"/>
      <c r="R207" s="220"/>
      <c r="S207" s="194"/>
      <c r="T207" s="194"/>
      <c r="U207" s="194"/>
      <c r="V207" s="194"/>
      <c r="W207" s="194"/>
      <c r="X207" s="194"/>
      <c r="Y207" s="194"/>
      <c r="Z207" s="194"/>
      <c r="AA207" s="194"/>
      <c r="AB207" s="194"/>
      <c r="AC207" s="194"/>
      <c r="AD207" s="194"/>
      <c r="AE207" s="194"/>
      <c r="AF207" s="194"/>
      <c r="AG207" s="194"/>
      <c r="AH207" s="194"/>
      <c r="AI207" s="194"/>
      <c r="AJ207" s="194"/>
      <c r="AK207" s="194"/>
      <c r="AL207" s="194"/>
      <c r="AM207" s="194"/>
      <c r="AN207" s="194"/>
      <c r="AO207" s="194"/>
      <c r="AP207" s="194"/>
      <c r="AQ207" s="194"/>
    </row>
    <row r="208" spans="4:43" ht="20.25">
      <c r="D208" s="194"/>
      <c r="E208" s="194"/>
      <c r="F208" s="194"/>
      <c r="G208" s="194"/>
      <c r="H208" s="255"/>
      <c r="I208" s="204"/>
      <c r="J208" s="204"/>
      <c r="K208" s="204"/>
      <c r="L208" s="204"/>
      <c r="M208" s="216"/>
      <c r="N208" s="220"/>
      <c r="O208" s="220"/>
      <c r="P208" s="220"/>
      <c r="Q208" s="220"/>
      <c r="R208" s="220"/>
      <c r="S208" s="194"/>
      <c r="T208" s="194"/>
      <c r="U208" s="194"/>
      <c r="V208" s="194"/>
      <c r="W208" s="194"/>
      <c r="X208" s="194"/>
      <c r="Y208" s="194"/>
      <c r="Z208" s="194"/>
      <c r="AA208" s="194"/>
      <c r="AB208" s="194"/>
      <c r="AC208" s="194"/>
      <c r="AD208" s="194"/>
      <c r="AE208" s="194"/>
      <c r="AF208" s="194"/>
      <c r="AG208" s="194"/>
      <c r="AH208" s="194"/>
      <c r="AI208" s="194"/>
      <c r="AJ208" s="194"/>
      <c r="AK208" s="194"/>
      <c r="AL208" s="194"/>
      <c r="AM208" s="194"/>
      <c r="AN208" s="194"/>
      <c r="AO208" s="194"/>
      <c r="AP208" s="194"/>
      <c r="AQ208" s="194"/>
    </row>
    <row r="209" spans="4:43" ht="20.25">
      <c r="D209" s="194"/>
      <c r="E209" s="194"/>
      <c r="F209" s="194"/>
      <c r="G209" s="194"/>
      <c r="H209" s="255"/>
      <c r="I209" s="204"/>
      <c r="J209" s="204"/>
      <c r="K209" s="204"/>
      <c r="L209" s="204"/>
      <c r="M209" s="216"/>
      <c r="N209" s="220"/>
      <c r="O209" s="220"/>
      <c r="P209" s="220"/>
      <c r="Q209" s="220"/>
      <c r="R209" s="220"/>
      <c r="S209" s="194"/>
      <c r="T209" s="194"/>
      <c r="U209" s="194"/>
      <c r="V209" s="194"/>
      <c r="W209" s="194"/>
      <c r="X209" s="194"/>
      <c r="Y209" s="194"/>
      <c r="Z209" s="194"/>
      <c r="AA209" s="194"/>
      <c r="AB209" s="194"/>
      <c r="AC209" s="194"/>
      <c r="AD209" s="194"/>
      <c r="AE209" s="194"/>
      <c r="AF209" s="194"/>
      <c r="AG209" s="194"/>
      <c r="AH209" s="194"/>
      <c r="AI209" s="194"/>
      <c r="AJ209" s="194"/>
      <c r="AK209" s="194"/>
      <c r="AL209" s="194"/>
      <c r="AM209" s="194"/>
      <c r="AN209" s="194"/>
      <c r="AO209" s="194"/>
      <c r="AP209" s="194"/>
      <c r="AQ209" s="194"/>
    </row>
    <row r="210" spans="4:43" ht="20.25">
      <c r="D210" s="194"/>
      <c r="E210" s="194"/>
      <c r="F210" s="194"/>
      <c r="G210" s="194"/>
      <c r="H210" s="255"/>
      <c r="I210" s="204"/>
      <c r="J210" s="204"/>
      <c r="K210" s="204"/>
      <c r="L210" s="204"/>
      <c r="M210" s="216"/>
      <c r="N210" s="220"/>
      <c r="O210" s="220"/>
      <c r="P210" s="220"/>
      <c r="Q210" s="220"/>
      <c r="R210" s="220"/>
      <c r="S210" s="194"/>
      <c r="T210" s="194"/>
      <c r="U210" s="194"/>
      <c r="V210" s="194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4"/>
      <c r="AO210" s="194"/>
      <c r="AP210" s="194"/>
      <c r="AQ210" s="194"/>
    </row>
    <row r="211" spans="4:43" ht="20.25">
      <c r="D211" s="194"/>
      <c r="E211" s="194"/>
      <c r="F211" s="194"/>
      <c r="G211" s="194"/>
      <c r="H211" s="255"/>
      <c r="I211" s="204"/>
      <c r="J211" s="204"/>
      <c r="K211" s="204"/>
      <c r="L211" s="204"/>
      <c r="M211" s="216"/>
      <c r="N211" s="220"/>
      <c r="O211" s="220"/>
      <c r="P211" s="220"/>
      <c r="Q211" s="220"/>
      <c r="R211" s="220"/>
      <c r="S211" s="194"/>
      <c r="T211" s="194"/>
      <c r="U211" s="194"/>
      <c r="V211" s="194"/>
      <c r="W211" s="194"/>
      <c r="X211" s="194"/>
      <c r="Y211" s="194"/>
      <c r="Z211" s="194"/>
      <c r="AA211" s="194"/>
      <c r="AB211" s="194"/>
      <c r="AC211" s="194"/>
      <c r="AD211" s="194"/>
      <c r="AE211" s="194"/>
      <c r="AF211" s="194"/>
      <c r="AG211" s="194"/>
      <c r="AH211" s="194"/>
      <c r="AI211" s="194"/>
      <c r="AJ211" s="194"/>
      <c r="AK211" s="194"/>
      <c r="AL211" s="194"/>
      <c r="AM211" s="194"/>
      <c r="AN211" s="194"/>
      <c r="AO211" s="194"/>
      <c r="AP211" s="194"/>
      <c r="AQ211" s="194"/>
    </row>
    <row r="212" spans="4:43" ht="20.25">
      <c r="D212" s="194"/>
      <c r="E212" s="194"/>
      <c r="F212" s="194"/>
      <c r="G212" s="194"/>
      <c r="H212" s="255"/>
      <c r="I212" s="204"/>
      <c r="J212" s="204"/>
      <c r="K212" s="204"/>
      <c r="L212" s="204"/>
      <c r="M212" s="216"/>
      <c r="N212" s="220"/>
      <c r="O212" s="220"/>
      <c r="P212" s="220"/>
      <c r="Q212" s="220"/>
      <c r="R212" s="220"/>
      <c r="S212" s="194"/>
      <c r="T212" s="194"/>
      <c r="U212" s="194"/>
      <c r="V212" s="194"/>
      <c r="W212" s="194"/>
      <c r="X212" s="194"/>
      <c r="Y212" s="194"/>
      <c r="Z212" s="194"/>
      <c r="AA212" s="194"/>
      <c r="AB212" s="194"/>
      <c r="AC212" s="194"/>
      <c r="AD212" s="194"/>
      <c r="AE212" s="194"/>
      <c r="AF212" s="194"/>
      <c r="AG212" s="194"/>
      <c r="AH212" s="194"/>
      <c r="AI212" s="194"/>
      <c r="AJ212" s="194"/>
      <c r="AK212" s="194"/>
      <c r="AL212" s="194"/>
      <c r="AM212" s="194"/>
      <c r="AN212" s="194"/>
      <c r="AO212" s="194"/>
      <c r="AP212" s="194"/>
      <c r="AQ212" s="194"/>
    </row>
    <row r="213" spans="4:43" ht="20.25">
      <c r="D213" s="194"/>
      <c r="E213" s="194"/>
      <c r="F213" s="194"/>
      <c r="G213" s="194"/>
      <c r="H213" s="255"/>
      <c r="I213" s="204"/>
      <c r="J213" s="204"/>
      <c r="K213" s="204"/>
      <c r="L213" s="204"/>
      <c r="M213" s="216"/>
      <c r="N213" s="220"/>
      <c r="O213" s="220"/>
      <c r="P213" s="220"/>
      <c r="Q213" s="220"/>
      <c r="R213" s="220"/>
      <c r="S213" s="194"/>
      <c r="T213" s="194"/>
      <c r="U213" s="194"/>
      <c r="V213" s="194"/>
      <c r="W213" s="194"/>
      <c r="X213" s="194"/>
      <c r="Y213" s="194"/>
      <c r="Z213" s="194"/>
      <c r="AA213" s="194"/>
      <c r="AB213" s="194"/>
      <c r="AC213" s="194"/>
      <c r="AD213" s="194"/>
      <c r="AE213" s="194"/>
      <c r="AF213" s="194"/>
      <c r="AG213" s="194"/>
      <c r="AH213" s="194"/>
      <c r="AI213" s="194"/>
      <c r="AJ213" s="194"/>
      <c r="AK213" s="194"/>
      <c r="AL213" s="194"/>
      <c r="AM213" s="194"/>
      <c r="AN213" s="194"/>
      <c r="AO213" s="194"/>
      <c r="AP213" s="194"/>
      <c r="AQ213" s="194"/>
    </row>
    <row r="214" spans="4:43" ht="20.25">
      <c r="D214" s="194"/>
      <c r="E214" s="194"/>
      <c r="F214" s="194"/>
      <c r="G214" s="194"/>
      <c r="H214" s="255"/>
      <c r="I214" s="204"/>
      <c r="J214" s="204"/>
      <c r="K214" s="204"/>
      <c r="L214" s="204"/>
      <c r="M214" s="216"/>
      <c r="N214" s="220"/>
      <c r="O214" s="220"/>
      <c r="P214" s="220"/>
      <c r="Q214" s="220"/>
      <c r="R214" s="220"/>
      <c r="S214" s="194"/>
      <c r="T214" s="194"/>
      <c r="U214" s="194"/>
      <c r="V214" s="194"/>
      <c r="W214" s="194"/>
      <c r="X214" s="194"/>
      <c r="Y214" s="194"/>
      <c r="Z214" s="194"/>
      <c r="AA214" s="194"/>
      <c r="AB214" s="194"/>
      <c r="AC214" s="194"/>
      <c r="AD214" s="194"/>
      <c r="AE214" s="194"/>
      <c r="AF214" s="194"/>
      <c r="AG214" s="194"/>
      <c r="AH214" s="194"/>
      <c r="AI214" s="194"/>
      <c r="AJ214" s="194"/>
      <c r="AK214" s="194"/>
      <c r="AL214" s="194"/>
      <c r="AM214" s="194"/>
      <c r="AN214" s="194"/>
      <c r="AO214" s="194"/>
      <c r="AP214" s="194"/>
      <c r="AQ214" s="194"/>
    </row>
    <row r="215" spans="4:43" ht="20.25">
      <c r="D215" s="194"/>
      <c r="E215" s="194"/>
      <c r="F215" s="194"/>
      <c r="G215" s="194"/>
      <c r="H215" s="255"/>
      <c r="I215" s="204"/>
      <c r="J215" s="204"/>
      <c r="K215" s="204"/>
      <c r="L215" s="204"/>
      <c r="M215" s="216"/>
      <c r="N215" s="220"/>
      <c r="O215" s="220"/>
      <c r="P215" s="220"/>
      <c r="Q215" s="220"/>
      <c r="R215" s="220"/>
      <c r="S215" s="194"/>
      <c r="T215" s="194"/>
      <c r="U215" s="194"/>
      <c r="V215" s="194"/>
      <c r="W215" s="194"/>
      <c r="X215" s="194"/>
      <c r="Y215" s="194"/>
      <c r="Z215" s="194"/>
      <c r="AA215" s="194"/>
      <c r="AB215" s="194"/>
      <c r="AC215" s="194"/>
      <c r="AD215" s="194"/>
      <c r="AE215" s="194"/>
      <c r="AF215" s="194"/>
      <c r="AG215" s="194"/>
      <c r="AH215" s="194"/>
      <c r="AI215" s="194"/>
      <c r="AJ215" s="194"/>
      <c r="AK215" s="194"/>
      <c r="AL215" s="194"/>
      <c r="AM215" s="194"/>
      <c r="AN215" s="194"/>
      <c r="AO215" s="194"/>
      <c r="AP215" s="194"/>
      <c r="AQ215" s="194"/>
    </row>
    <row r="216" spans="4:43" ht="20.25">
      <c r="D216" s="194"/>
      <c r="E216" s="194"/>
      <c r="F216" s="194"/>
      <c r="G216" s="194"/>
      <c r="H216" s="255"/>
      <c r="I216" s="204"/>
      <c r="J216" s="204"/>
      <c r="K216" s="204"/>
      <c r="L216" s="204"/>
      <c r="M216" s="216"/>
      <c r="N216" s="220"/>
      <c r="O216" s="220"/>
      <c r="P216" s="220"/>
      <c r="Q216" s="220"/>
      <c r="R216" s="220"/>
      <c r="S216" s="194"/>
      <c r="T216" s="194"/>
      <c r="U216" s="194"/>
      <c r="V216" s="194"/>
      <c r="W216" s="194"/>
      <c r="X216" s="194"/>
      <c r="Y216" s="194"/>
      <c r="Z216" s="194"/>
      <c r="AA216" s="194"/>
      <c r="AB216" s="194"/>
      <c r="AC216" s="194"/>
      <c r="AD216" s="194"/>
      <c r="AE216" s="194"/>
      <c r="AF216" s="194"/>
      <c r="AG216" s="194"/>
      <c r="AH216" s="194"/>
      <c r="AI216" s="194"/>
      <c r="AJ216" s="194"/>
      <c r="AK216" s="194"/>
      <c r="AL216" s="194"/>
      <c r="AM216" s="194"/>
      <c r="AN216" s="194"/>
      <c r="AO216" s="194"/>
      <c r="AP216" s="194"/>
      <c r="AQ216" s="194"/>
    </row>
    <row r="217" spans="4:43" ht="20.25">
      <c r="D217" s="194"/>
      <c r="E217" s="194"/>
      <c r="F217" s="194"/>
      <c r="G217" s="194"/>
      <c r="H217" s="255"/>
      <c r="I217" s="204"/>
      <c r="J217" s="204"/>
      <c r="K217" s="204"/>
      <c r="L217" s="204"/>
      <c r="M217" s="216"/>
      <c r="N217" s="220"/>
      <c r="O217" s="220"/>
      <c r="P217" s="220"/>
      <c r="Q217" s="220"/>
      <c r="R217" s="220"/>
      <c r="S217" s="194"/>
      <c r="T217" s="194"/>
      <c r="U217" s="194"/>
      <c r="V217" s="194"/>
      <c r="W217" s="194"/>
      <c r="X217" s="194"/>
      <c r="Y217" s="194"/>
      <c r="Z217" s="194"/>
      <c r="AA217" s="194"/>
      <c r="AB217" s="194"/>
      <c r="AC217" s="194"/>
      <c r="AD217" s="194"/>
      <c r="AE217" s="194"/>
      <c r="AF217" s="194"/>
      <c r="AG217" s="194"/>
      <c r="AH217" s="194"/>
      <c r="AI217" s="194"/>
      <c r="AJ217" s="194"/>
      <c r="AK217" s="194"/>
      <c r="AL217" s="194"/>
      <c r="AM217" s="194"/>
      <c r="AN217" s="194"/>
      <c r="AO217" s="194"/>
      <c r="AP217" s="194"/>
      <c r="AQ217" s="194"/>
    </row>
    <row r="218" spans="4:43" ht="20.25">
      <c r="D218" s="194"/>
      <c r="E218" s="194"/>
      <c r="F218" s="194"/>
      <c r="G218" s="194"/>
      <c r="H218" s="255"/>
      <c r="I218" s="204"/>
      <c r="J218" s="204"/>
      <c r="K218" s="204"/>
      <c r="L218" s="204"/>
      <c r="M218" s="216"/>
      <c r="N218" s="220"/>
      <c r="O218" s="220"/>
      <c r="P218" s="220"/>
      <c r="Q218" s="220"/>
      <c r="R218" s="220"/>
      <c r="S218" s="194"/>
      <c r="T218" s="194"/>
      <c r="U218" s="194"/>
      <c r="V218" s="194"/>
      <c r="W218" s="194"/>
      <c r="X218" s="194"/>
      <c r="Y218" s="194"/>
      <c r="Z218" s="194"/>
      <c r="AA218" s="194"/>
      <c r="AB218" s="194"/>
      <c r="AC218" s="194"/>
      <c r="AD218" s="194"/>
      <c r="AE218" s="194"/>
      <c r="AF218" s="194"/>
      <c r="AG218" s="194"/>
      <c r="AH218" s="194"/>
      <c r="AI218" s="194"/>
      <c r="AJ218" s="194"/>
      <c r="AK218" s="194"/>
      <c r="AL218" s="194"/>
      <c r="AM218" s="194"/>
      <c r="AN218" s="194"/>
      <c r="AO218" s="194"/>
      <c r="AP218" s="194"/>
      <c r="AQ218" s="194"/>
    </row>
    <row r="219" spans="4:43" ht="20.25">
      <c r="D219" s="194"/>
      <c r="E219" s="194"/>
      <c r="F219" s="194"/>
      <c r="G219" s="194"/>
      <c r="H219" s="255"/>
      <c r="I219" s="204"/>
      <c r="J219" s="204"/>
      <c r="K219" s="204"/>
      <c r="L219" s="204"/>
      <c r="M219" s="216"/>
      <c r="N219" s="220"/>
      <c r="O219" s="220"/>
      <c r="P219" s="220"/>
      <c r="Q219" s="220"/>
      <c r="R219" s="220"/>
      <c r="S219" s="194"/>
      <c r="T219" s="194"/>
      <c r="U219" s="194"/>
      <c r="V219" s="194"/>
      <c r="W219" s="194"/>
      <c r="X219" s="194"/>
      <c r="Y219" s="194"/>
      <c r="Z219" s="194"/>
      <c r="AA219" s="194"/>
      <c r="AB219" s="194"/>
      <c r="AC219" s="194"/>
      <c r="AD219" s="194"/>
      <c r="AE219" s="194"/>
      <c r="AF219" s="194"/>
      <c r="AG219" s="194"/>
      <c r="AH219" s="194"/>
      <c r="AI219" s="194"/>
      <c r="AJ219" s="194"/>
      <c r="AK219" s="194"/>
      <c r="AL219" s="194"/>
      <c r="AM219" s="194"/>
      <c r="AN219" s="194"/>
      <c r="AO219" s="194"/>
      <c r="AP219" s="194"/>
      <c r="AQ219" s="194"/>
    </row>
    <row r="220" spans="4:43" ht="20.25">
      <c r="D220" s="194"/>
      <c r="E220" s="194"/>
      <c r="F220" s="194"/>
      <c r="G220" s="194"/>
      <c r="H220" s="255"/>
      <c r="I220" s="204"/>
      <c r="J220" s="204"/>
      <c r="K220" s="204"/>
      <c r="L220" s="204"/>
      <c r="M220" s="216"/>
      <c r="N220" s="220"/>
      <c r="O220" s="220"/>
      <c r="P220" s="220"/>
      <c r="Q220" s="220"/>
      <c r="R220" s="220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  <c r="AI220" s="194"/>
      <c r="AJ220" s="194"/>
      <c r="AK220" s="194"/>
      <c r="AL220" s="194"/>
      <c r="AM220" s="194"/>
      <c r="AN220" s="194"/>
      <c r="AO220" s="194"/>
      <c r="AP220" s="194"/>
      <c r="AQ220" s="194"/>
    </row>
    <row r="221" spans="4:43" ht="20.25">
      <c r="D221" s="194"/>
      <c r="E221" s="194"/>
      <c r="F221" s="194"/>
      <c r="G221" s="194"/>
      <c r="H221" s="255"/>
      <c r="I221" s="204"/>
      <c r="J221" s="204"/>
      <c r="K221" s="204"/>
      <c r="L221" s="204"/>
      <c r="M221" s="216"/>
      <c r="N221" s="220"/>
      <c r="O221" s="220"/>
      <c r="P221" s="220"/>
      <c r="Q221" s="220"/>
      <c r="R221" s="220"/>
      <c r="S221" s="194"/>
      <c r="T221" s="194"/>
      <c r="U221" s="194"/>
      <c r="V221" s="194"/>
      <c r="W221" s="194"/>
      <c r="X221" s="194"/>
      <c r="Y221" s="194"/>
      <c r="Z221" s="194"/>
      <c r="AA221" s="194"/>
      <c r="AB221" s="194"/>
      <c r="AC221" s="194"/>
      <c r="AD221" s="194"/>
      <c r="AE221" s="194"/>
      <c r="AF221" s="194"/>
      <c r="AG221" s="194"/>
      <c r="AH221" s="194"/>
      <c r="AI221" s="194"/>
      <c r="AJ221" s="194"/>
      <c r="AK221" s="194"/>
      <c r="AL221" s="194"/>
      <c r="AM221" s="194"/>
      <c r="AN221" s="194"/>
      <c r="AO221" s="194"/>
      <c r="AP221" s="194"/>
      <c r="AQ221" s="194"/>
    </row>
    <row r="222" spans="4:43" ht="20.25">
      <c r="D222" s="194"/>
      <c r="E222" s="194"/>
      <c r="F222" s="194"/>
      <c r="G222" s="194"/>
      <c r="H222" s="255"/>
      <c r="I222" s="204"/>
      <c r="J222" s="204"/>
      <c r="K222" s="204"/>
      <c r="L222" s="204"/>
      <c r="M222" s="216"/>
      <c r="N222" s="220"/>
      <c r="O222" s="220"/>
      <c r="P222" s="220"/>
      <c r="Q222" s="220"/>
      <c r="R222" s="220"/>
      <c r="S222" s="194"/>
      <c r="T222" s="194"/>
      <c r="U222" s="194"/>
      <c r="V222" s="194"/>
      <c r="W222" s="194"/>
      <c r="X222" s="194"/>
      <c r="Y222" s="194"/>
      <c r="Z222" s="194"/>
      <c r="AA222" s="194"/>
      <c r="AB222" s="194"/>
      <c r="AC222" s="194"/>
      <c r="AD222" s="194"/>
      <c r="AE222" s="194"/>
      <c r="AF222" s="194"/>
      <c r="AG222" s="194"/>
      <c r="AH222" s="194"/>
      <c r="AI222" s="194"/>
      <c r="AJ222" s="194"/>
      <c r="AK222" s="194"/>
      <c r="AL222" s="194"/>
      <c r="AM222" s="194"/>
      <c r="AN222" s="194"/>
      <c r="AO222" s="194"/>
      <c r="AP222" s="194"/>
      <c r="AQ222" s="194"/>
    </row>
    <row r="223" spans="4:43" ht="20.25">
      <c r="D223" s="194"/>
      <c r="E223" s="194"/>
      <c r="F223" s="194"/>
      <c r="G223" s="194"/>
      <c r="H223" s="255"/>
      <c r="I223" s="204"/>
      <c r="J223" s="204"/>
      <c r="K223" s="204"/>
      <c r="L223" s="204"/>
      <c r="M223" s="216"/>
      <c r="N223" s="220"/>
      <c r="O223" s="220"/>
      <c r="P223" s="220"/>
      <c r="Q223" s="220"/>
      <c r="R223" s="220"/>
      <c r="S223" s="194"/>
      <c r="T223" s="194"/>
      <c r="U223" s="194"/>
      <c r="V223" s="194"/>
      <c r="W223" s="194"/>
      <c r="X223" s="194"/>
      <c r="Y223" s="194"/>
      <c r="Z223" s="194"/>
      <c r="AA223" s="194"/>
      <c r="AB223" s="194"/>
      <c r="AC223" s="194"/>
      <c r="AD223" s="194"/>
      <c r="AE223" s="194"/>
      <c r="AF223" s="194"/>
      <c r="AG223" s="194"/>
      <c r="AH223" s="194"/>
      <c r="AI223" s="194"/>
      <c r="AJ223" s="194"/>
      <c r="AK223" s="194"/>
      <c r="AL223" s="194"/>
      <c r="AM223" s="194"/>
      <c r="AN223" s="194"/>
      <c r="AO223" s="194"/>
      <c r="AP223" s="194"/>
      <c r="AQ223" s="194"/>
    </row>
    <row r="224" spans="4:43" ht="20.25">
      <c r="D224" s="194"/>
      <c r="E224" s="194"/>
      <c r="F224" s="194"/>
      <c r="G224" s="194"/>
      <c r="H224" s="255"/>
      <c r="I224" s="204"/>
      <c r="J224" s="204"/>
      <c r="K224" s="204"/>
      <c r="L224" s="204"/>
      <c r="M224" s="216"/>
      <c r="N224" s="220"/>
      <c r="O224" s="220"/>
      <c r="P224" s="220"/>
      <c r="Q224" s="220"/>
      <c r="R224" s="220"/>
      <c r="S224" s="194"/>
      <c r="T224" s="194"/>
      <c r="U224" s="194"/>
      <c r="V224" s="194"/>
      <c r="W224" s="194"/>
      <c r="X224" s="194"/>
      <c r="Y224" s="194"/>
      <c r="Z224" s="194"/>
      <c r="AA224" s="194"/>
      <c r="AB224" s="194"/>
      <c r="AC224" s="194"/>
      <c r="AD224" s="194"/>
      <c r="AE224" s="194"/>
      <c r="AF224" s="194"/>
      <c r="AG224" s="194"/>
      <c r="AH224" s="194"/>
      <c r="AI224" s="194"/>
      <c r="AJ224" s="194"/>
      <c r="AK224" s="194"/>
      <c r="AL224" s="194"/>
      <c r="AM224" s="194"/>
      <c r="AN224" s="194"/>
      <c r="AO224" s="194"/>
      <c r="AP224" s="194"/>
      <c r="AQ224" s="194"/>
    </row>
    <row r="225" spans="4:43" ht="20.25">
      <c r="D225" s="194"/>
      <c r="E225" s="194"/>
      <c r="F225" s="194"/>
      <c r="G225" s="194"/>
      <c r="H225" s="255"/>
      <c r="I225" s="204"/>
      <c r="J225" s="204"/>
      <c r="K225" s="204"/>
      <c r="L225" s="204"/>
      <c r="M225" s="216"/>
      <c r="N225" s="220"/>
      <c r="O225" s="220"/>
      <c r="P225" s="220"/>
      <c r="Q225" s="220"/>
      <c r="R225" s="220"/>
      <c r="S225" s="194"/>
      <c r="T225" s="194"/>
      <c r="U225" s="194"/>
      <c r="V225" s="194"/>
      <c r="W225" s="194"/>
      <c r="X225" s="194"/>
      <c r="Y225" s="194"/>
      <c r="Z225" s="194"/>
      <c r="AA225" s="194"/>
      <c r="AB225" s="194"/>
      <c r="AC225" s="194"/>
      <c r="AD225" s="194"/>
      <c r="AE225" s="194"/>
      <c r="AF225" s="194"/>
      <c r="AG225" s="194"/>
      <c r="AH225" s="194"/>
      <c r="AI225" s="194"/>
      <c r="AJ225" s="194"/>
      <c r="AK225" s="194"/>
      <c r="AL225" s="194"/>
      <c r="AM225" s="194"/>
      <c r="AN225" s="194"/>
      <c r="AO225" s="194"/>
      <c r="AP225" s="194"/>
      <c r="AQ225" s="194"/>
    </row>
    <row r="226" spans="4:43" ht="20.25">
      <c r="D226" s="194"/>
      <c r="E226" s="194"/>
      <c r="F226" s="194"/>
      <c r="G226" s="194"/>
      <c r="H226" s="255"/>
      <c r="I226" s="204"/>
      <c r="J226" s="204"/>
      <c r="K226" s="204"/>
      <c r="L226" s="204"/>
      <c r="M226" s="216"/>
      <c r="N226" s="220"/>
      <c r="O226" s="220"/>
      <c r="P226" s="220"/>
      <c r="Q226" s="220"/>
      <c r="R226" s="220"/>
      <c r="S226" s="194"/>
      <c r="T226" s="194"/>
      <c r="U226" s="194"/>
      <c r="V226" s="194"/>
      <c r="W226" s="194"/>
      <c r="X226" s="194"/>
      <c r="Y226" s="194"/>
      <c r="Z226" s="194"/>
      <c r="AA226" s="194"/>
      <c r="AB226" s="194"/>
      <c r="AC226" s="194"/>
      <c r="AD226" s="194"/>
      <c r="AE226" s="194"/>
      <c r="AF226" s="194"/>
      <c r="AG226" s="194"/>
      <c r="AH226" s="194"/>
      <c r="AI226" s="194"/>
      <c r="AJ226" s="194"/>
      <c r="AK226" s="194"/>
      <c r="AL226" s="194"/>
      <c r="AM226" s="194"/>
      <c r="AN226" s="194"/>
      <c r="AO226" s="194"/>
      <c r="AP226" s="194"/>
      <c r="AQ226" s="194"/>
    </row>
    <row r="227" spans="4:43" ht="20.25">
      <c r="D227" s="194"/>
      <c r="E227" s="194"/>
      <c r="F227" s="194"/>
      <c r="G227" s="194"/>
      <c r="H227" s="255"/>
      <c r="I227" s="204"/>
      <c r="J227" s="204"/>
      <c r="K227" s="204"/>
      <c r="L227" s="204"/>
      <c r="M227" s="216"/>
      <c r="N227" s="220"/>
      <c r="O227" s="220"/>
      <c r="P227" s="220"/>
      <c r="Q227" s="220"/>
      <c r="R227" s="220"/>
      <c r="S227" s="194"/>
      <c r="T227" s="194"/>
      <c r="U227" s="194"/>
      <c r="V227" s="194"/>
      <c r="W227" s="194"/>
      <c r="X227" s="194"/>
      <c r="Y227" s="194"/>
      <c r="Z227" s="194"/>
      <c r="AA227" s="194"/>
      <c r="AB227" s="194"/>
      <c r="AC227" s="194"/>
      <c r="AD227" s="194"/>
      <c r="AE227" s="194"/>
      <c r="AF227" s="194"/>
      <c r="AG227" s="194"/>
      <c r="AH227" s="194"/>
      <c r="AI227" s="194"/>
      <c r="AJ227" s="194"/>
      <c r="AK227" s="194"/>
      <c r="AL227" s="194"/>
      <c r="AM227" s="194"/>
      <c r="AN227" s="194"/>
      <c r="AO227" s="194"/>
      <c r="AP227" s="194"/>
      <c r="AQ227" s="194"/>
    </row>
    <row r="228" spans="4:43" ht="20.25">
      <c r="D228" s="194"/>
      <c r="E228" s="194"/>
      <c r="F228" s="194"/>
      <c r="G228" s="194"/>
      <c r="H228" s="255"/>
      <c r="I228" s="204"/>
      <c r="J228" s="204"/>
      <c r="K228" s="204"/>
      <c r="L228" s="204"/>
      <c r="M228" s="216"/>
      <c r="N228" s="220"/>
      <c r="O228" s="220"/>
      <c r="P228" s="220"/>
      <c r="Q228" s="220"/>
      <c r="R228" s="220"/>
      <c r="S228" s="194"/>
      <c r="T228" s="194"/>
      <c r="U228" s="194"/>
      <c r="V228" s="194"/>
      <c r="W228" s="194"/>
      <c r="X228" s="194"/>
      <c r="Y228" s="194"/>
      <c r="Z228" s="194"/>
      <c r="AA228" s="194"/>
      <c r="AB228" s="194"/>
      <c r="AC228" s="194"/>
      <c r="AD228" s="194"/>
      <c r="AE228" s="194"/>
      <c r="AF228" s="194"/>
      <c r="AG228" s="194"/>
      <c r="AH228" s="194"/>
      <c r="AI228" s="194"/>
      <c r="AJ228" s="194"/>
      <c r="AK228" s="194"/>
      <c r="AL228" s="194"/>
      <c r="AM228" s="194"/>
      <c r="AN228" s="194"/>
      <c r="AO228" s="194"/>
      <c r="AP228" s="194"/>
      <c r="AQ228" s="194"/>
    </row>
    <row r="229" spans="4:43" ht="20.25">
      <c r="D229" s="194"/>
      <c r="E229" s="194"/>
      <c r="F229" s="194"/>
      <c r="G229" s="194"/>
      <c r="H229" s="255"/>
      <c r="I229" s="204"/>
      <c r="J229" s="204"/>
      <c r="K229" s="204"/>
      <c r="L229" s="204"/>
      <c r="M229" s="216"/>
      <c r="N229" s="220"/>
      <c r="O229" s="220"/>
      <c r="P229" s="220"/>
      <c r="Q229" s="220"/>
      <c r="R229" s="220"/>
      <c r="S229" s="194"/>
      <c r="T229" s="194"/>
      <c r="U229" s="194"/>
      <c r="V229" s="194"/>
      <c r="W229" s="194"/>
      <c r="X229" s="194"/>
      <c r="Y229" s="194"/>
      <c r="Z229" s="194"/>
      <c r="AA229" s="194"/>
      <c r="AB229" s="194"/>
      <c r="AC229" s="194"/>
      <c r="AD229" s="194"/>
      <c r="AE229" s="194"/>
      <c r="AF229" s="194"/>
      <c r="AG229" s="194"/>
      <c r="AH229" s="194"/>
      <c r="AI229" s="194"/>
      <c r="AJ229" s="194"/>
      <c r="AK229" s="194"/>
      <c r="AL229" s="194"/>
      <c r="AM229" s="194"/>
      <c r="AN229" s="194"/>
      <c r="AO229" s="194"/>
      <c r="AP229" s="194"/>
      <c r="AQ229" s="194"/>
    </row>
    <row r="230" spans="4:43" ht="20.25">
      <c r="D230" s="194"/>
      <c r="E230" s="194"/>
      <c r="F230" s="194"/>
      <c r="G230" s="194"/>
      <c r="H230" s="255"/>
      <c r="I230" s="204"/>
      <c r="J230" s="204"/>
      <c r="K230" s="204"/>
      <c r="L230" s="204"/>
      <c r="M230" s="216"/>
      <c r="N230" s="220"/>
      <c r="O230" s="220"/>
      <c r="P230" s="220"/>
      <c r="Q230" s="220"/>
      <c r="R230" s="220"/>
      <c r="S230" s="194"/>
      <c r="T230" s="194"/>
      <c r="U230" s="194"/>
      <c r="V230" s="194"/>
      <c r="W230" s="194"/>
      <c r="X230" s="194"/>
      <c r="Y230" s="194"/>
      <c r="Z230" s="194"/>
      <c r="AA230" s="194"/>
      <c r="AB230" s="194"/>
      <c r="AC230" s="194"/>
      <c r="AD230" s="194"/>
      <c r="AE230" s="194"/>
      <c r="AF230" s="194"/>
      <c r="AG230" s="194"/>
      <c r="AH230" s="194"/>
      <c r="AI230" s="194"/>
      <c r="AJ230" s="194"/>
      <c r="AK230" s="194"/>
      <c r="AL230" s="194"/>
      <c r="AM230" s="194"/>
      <c r="AN230" s="194"/>
      <c r="AO230" s="194"/>
      <c r="AP230" s="194"/>
      <c r="AQ230" s="194"/>
    </row>
    <row r="231" spans="4:43" ht="20.25">
      <c r="D231" s="194"/>
      <c r="E231" s="194"/>
      <c r="F231" s="194"/>
      <c r="G231" s="194"/>
      <c r="H231" s="255"/>
      <c r="I231" s="204"/>
      <c r="J231" s="204"/>
      <c r="K231" s="204"/>
      <c r="L231" s="204"/>
      <c r="M231" s="216"/>
      <c r="N231" s="220"/>
      <c r="O231" s="220"/>
      <c r="P231" s="220"/>
      <c r="Q231" s="220"/>
      <c r="R231" s="220"/>
      <c r="S231" s="194"/>
      <c r="T231" s="194"/>
      <c r="U231" s="194"/>
      <c r="V231" s="194"/>
      <c r="W231" s="194"/>
      <c r="X231" s="194"/>
      <c r="Y231" s="194"/>
      <c r="Z231" s="194"/>
      <c r="AA231" s="194"/>
      <c r="AB231" s="194"/>
      <c r="AC231" s="194"/>
      <c r="AD231" s="194"/>
      <c r="AE231" s="194"/>
      <c r="AF231" s="194"/>
      <c r="AG231" s="194"/>
      <c r="AH231" s="194"/>
      <c r="AI231" s="194"/>
      <c r="AJ231" s="194"/>
      <c r="AK231" s="194"/>
      <c r="AL231" s="194"/>
      <c r="AM231" s="194"/>
      <c r="AN231" s="194"/>
      <c r="AO231" s="194"/>
      <c r="AP231" s="194"/>
      <c r="AQ231" s="194"/>
    </row>
    <row r="232" spans="4:43" ht="20.25">
      <c r="D232" s="194"/>
      <c r="E232" s="194"/>
      <c r="F232" s="194"/>
      <c r="G232" s="194"/>
      <c r="H232" s="255"/>
      <c r="I232" s="204"/>
      <c r="J232" s="204"/>
      <c r="K232" s="204"/>
      <c r="L232" s="204"/>
      <c r="M232" s="216"/>
      <c r="N232" s="220"/>
      <c r="O232" s="220"/>
      <c r="P232" s="220"/>
      <c r="Q232" s="220"/>
      <c r="R232" s="220"/>
      <c r="S232" s="194"/>
      <c r="T232" s="194"/>
      <c r="U232" s="194"/>
      <c r="V232" s="194"/>
      <c r="W232" s="194"/>
      <c r="X232" s="194"/>
      <c r="Y232" s="194"/>
      <c r="Z232" s="194"/>
      <c r="AA232" s="194"/>
      <c r="AB232" s="194"/>
      <c r="AC232" s="194"/>
      <c r="AD232" s="194"/>
      <c r="AE232" s="194"/>
      <c r="AF232" s="194"/>
      <c r="AG232" s="194"/>
      <c r="AH232" s="194"/>
      <c r="AI232" s="194"/>
      <c r="AJ232" s="194"/>
      <c r="AK232" s="194"/>
      <c r="AL232" s="194"/>
      <c r="AM232" s="194"/>
      <c r="AN232" s="194"/>
      <c r="AO232" s="194"/>
      <c r="AP232" s="194"/>
      <c r="AQ232" s="194"/>
    </row>
    <row r="233" spans="4:43" ht="20.25">
      <c r="D233" s="194"/>
      <c r="E233" s="194"/>
      <c r="F233" s="194"/>
      <c r="G233" s="194"/>
      <c r="H233" s="255"/>
      <c r="I233" s="204"/>
      <c r="J233" s="204"/>
      <c r="K233" s="204"/>
      <c r="L233" s="204"/>
      <c r="M233" s="216"/>
      <c r="N233" s="220"/>
      <c r="O233" s="220"/>
      <c r="P233" s="220"/>
      <c r="Q233" s="220"/>
      <c r="R233" s="220"/>
      <c r="S233" s="194"/>
      <c r="T233" s="194"/>
      <c r="U233" s="194"/>
      <c r="V233" s="194"/>
      <c r="W233" s="194"/>
      <c r="X233" s="194"/>
      <c r="Y233" s="194"/>
      <c r="Z233" s="194"/>
      <c r="AA233" s="194"/>
      <c r="AB233" s="194"/>
      <c r="AC233" s="194"/>
      <c r="AD233" s="194"/>
      <c r="AE233" s="194"/>
      <c r="AF233" s="194"/>
      <c r="AG233" s="194"/>
      <c r="AH233" s="194"/>
      <c r="AI233" s="194"/>
      <c r="AJ233" s="194"/>
      <c r="AK233" s="194"/>
      <c r="AL233" s="194"/>
      <c r="AM233" s="194"/>
      <c r="AN233" s="194"/>
      <c r="AO233" s="194"/>
      <c r="AP233" s="194"/>
      <c r="AQ233" s="194"/>
    </row>
    <row r="234" spans="4:43" ht="20.25">
      <c r="D234" s="194"/>
      <c r="E234" s="194"/>
      <c r="F234" s="194"/>
      <c r="G234" s="194"/>
      <c r="H234" s="255"/>
      <c r="I234" s="204"/>
      <c r="J234" s="204"/>
      <c r="K234" s="204"/>
      <c r="L234" s="204"/>
      <c r="M234" s="216"/>
      <c r="N234" s="220"/>
      <c r="O234" s="220"/>
      <c r="P234" s="220"/>
      <c r="Q234" s="220"/>
      <c r="R234" s="220"/>
      <c r="S234" s="194"/>
      <c r="T234" s="194"/>
      <c r="U234" s="194"/>
      <c r="V234" s="194"/>
      <c r="W234" s="194"/>
      <c r="X234" s="194"/>
      <c r="Y234" s="194"/>
      <c r="Z234" s="194"/>
      <c r="AA234" s="194"/>
      <c r="AB234" s="194"/>
      <c r="AC234" s="194"/>
      <c r="AD234" s="194"/>
      <c r="AE234" s="194"/>
      <c r="AF234" s="194"/>
      <c r="AG234" s="194"/>
      <c r="AH234" s="194"/>
      <c r="AI234" s="194"/>
      <c r="AJ234" s="194"/>
      <c r="AK234" s="194"/>
      <c r="AL234" s="194"/>
      <c r="AM234" s="194"/>
      <c r="AN234" s="194"/>
      <c r="AO234" s="194"/>
      <c r="AP234" s="194"/>
      <c r="AQ234" s="194"/>
    </row>
    <row r="235" spans="4:43" ht="20.25">
      <c r="D235" s="194"/>
      <c r="E235" s="194"/>
      <c r="F235" s="194"/>
      <c r="G235" s="194"/>
      <c r="H235" s="255"/>
      <c r="I235" s="204"/>
      <c r="J235" s="204"/>
      <c r="K235" s="204"/>
      <c r="L235" s="204"/>
      <c r="M235" s="216"/>
      <c r="N235" s="220"/>
      <c r="O235" s="220"/>
      <c r="P235" s="220"/>
      <c r="Q235" s="220"/>
      <c r="R235" s="220"/>
      <c r="S235" s="194"/>
      <c r="T235" s="194"/>
      <c r="U235" s="194"/>
      <c r="V235" s="194"/>
      <c r="W235" s="194"/>
      <c r="X235" s="194"/>
      <c r="Y235" s="194"/>
      <c r="Z235" s="194"/>
      <c r="AA235" s="194"/>
      <c r="AB235" s="194"/>
      <c r="AC235" s="194"/>
      <c r="AD235" s="194"/>
      <c r="AE235" s="194"/>
      <c r="AF235" s="194"/>
      <c r="AG235" s="194"/>
      <c r="AH235" s="194"/>
      <c r="AI235" s="194"/>
      <c r="AJ235" s="194"/>
      <c r="AK235" s="194"/>
      <c r="AL235" s="194"/>
      <c r="AM235" s="194"/>
      <c r="AN235" s="194"/>
      <c r="AO235" s="194"/>
      <c r="AP235" s="194"/>
      <c r="AQ235" s="194"/>
    </row>
    <row r="236" spans="4:43" ht="20.25">
      <c r="D236" s="194"/>
      <c r="E236" s="194"/>
      <c r="F236" s="194"/>
      <c r="G236" s="194"/>
      <c r="H236" s="255"/>
      <c r="I236" s="204"/>
      <c r="J236" s="204"/>
      <c r="K236" s="204"/>
      <c r="L236" s="204"/>
      <c r="M236" s="216"/>
      <c r="N236" s="220"/>
      <c r="O236" s="220"/>
      <c r="P236" s="220"/>
      <c r="Q236" s="220"/>
      <c r="R236" s="220"/>
      <c r="S236" s="194"/>
      <c r="T236" s="194"/>
      <c r="U236" s="194"/>
      <c r="V236" s="194"/>
      <c r="W236" s="194"/>
      <c r="X236" s="194"/>
      <c r="Y236" s="194"/>
      <c r="Z236" s="194"/>
      <c r="AA236" s="194"/>
      <c r="AB236" s="194"/>
      <c r="AC236" s="194"/>
      <c r="AD236" s="194"/>
      <c r="AE236" s="194"/>
      <c r="AF236" s="194"/>
      <c r="AG236" s="194"/>
      <c r="AH236" s="194"/>
      <c r="AI236" s="194"/>
      <c r="AJ236" s="194"/>
      <c r="AK236" s="194"/>
      <c r="AL236" s="194"/>
      <c r="AM236" s="194"/>
      <c r="AN236" s="194"/>
      <c r="AO236" s="194"/>
      <c r="AP236" s="194"/>
      <c r="AQ236" s="194"/>
    </row>
    <row r="237" spans="4:43" ht="20.25">
      <c r="D237" s="194"/>
      <c r="E237" s="194"/>
      <c r="F237" s="194"/>
      <c r="G237" s="194"/>
      <c r="H237" s="255"/>
      <c r="I237" s="204"/>
      <c r="J237" s="204"/>
      <c r="K237" s="204"/>
      <c r="L237" s="204"/>
      <c r="M237" s="216"/>
      <c r="N237" s="220"/>
      <c r="O237" s="220"/>
      <c r="P237" s="220"/>
      <c r="Q237" s="220"/>
      <c r="R237" s="220"/>
      <c r="S237" s="194"/>
      <c r="T237" s="194"/>
      <c r="U237" s="194"/>
      <c r="V237" s="194"/>
      <c r="W237" s="194"/>
      <c r="X237" s="194"/>
      <c r="Y237" s="194"/>
      <c r="Z237" s="194"/>
      <c r="AA237" s="194"/>
      <c r="AB237" s="194"/>
      <c r="AC237" s="194"/>
      <c r="AD237" s="194"/>
      <c r="AE237" s="194"/>
      <c r="AF237" s="194"/>
      <c r="AG237" s="194"/>
      <c r="AH237" s="194"/>
      <c r="AI237" s="194"/>
      <c r="AJ237" s="194"/>
      <c r="AK237" s="194"/>
      <c r="AL237" s="194"/>
      <c r="AM237" s="194"/>
      <c r="AN237" s="194"/>
      <c r="AO237" s="194"/>
      <c r="AP237" s="194"/>
      <c r="AQ237" s="194"/>
    </row>
    <row r="238" spans="4:43" ht="20.25">
      <c r="D238" s="194"/>
      <c r="E238" s="194"/>
      <c r="F238" s="194"/>
      <c r="G238" s="194"/>
      <c r="H238" s="255"/>
      <c r="I238" s="204"/>
      <c r="J238" s="204"/>
      <c r="K238" s="204"/>
      <c r="L238" s="204"/>
      <c r="M238" s="216"/>
      <c r="N238" s="220"/>
      <c r="O238" s="220"/>
      <c r="P238" s="220"/>
      <c r="Q238" s="220"/>
      <c r="R238" s="220"/>
      <c r="S238" s="194"/>
      <c r="T238" s="194"/>
      <c r="U238" s="194"/>
      <c r="V238" s="194"/>
      <c r="W238" s="194"/>
      <c r="X238" s="194"/>
      <c r="Y238" s="194"/>
      <c r="Z238" s="194"/>
      <c r="AA238" s="194"/>
      <c r="AB238" s="194"/>
      <c r="AC238" s="194"/>
      <c r="AD238" s="194"/>
      <c r="AE238" s="194"/>
      <c r="AF238" s="194"/>
      <c r="AG238" s="194"/>
      <c r="AH238" s="194"/>
      <c r="AI238" s="194"/>
      <c r="AJ238" s="194"/>
      <c r="AK238" s="194"/>
      <c r="AL238" s="194"/>
      <c r="AM238" s="194"/>
      <c r="AN238" s="194"/>
      <c r="AO238" s="194"/>
      <c r="AP238" s="194"/>
      <c r="AQ238" s="194"/>
    </row>
    <row r="239" spans="4:43" ht="20.25">
      <c r="D239" s="194"/>
      <c r="E239" s="194"/>
      <c r="F239" s="194"/>
      <c r="G239" s="194"/>
      <c r="H239" s="255"/>
      <c r="I239" s="204"/>
      <c r="J239" s="204"/>
      <c r="K239" s="204"/>
      <c r="L239" s="204"/>
      <c r="M239" s="216"/>
      <c r="N239" s="220"/>
      <c r="O239" s="220"/>
      <c r="P239" s="220"/>
      <c r="Q239" s="220"/>
      <c r="R239" s="220"/>
      <c r="S239" s="194"/>
      <c r="T239" s="194"/>
      <c r="U239" s="194"/>
      <c r="V239" s="194"/>
      <c r="W239" s="194"/>
      <c r="X239" s="194"/>
      <c r="Y239" s="194"/>
      <c r="Z239" s="194"/>
      <c r="AA239" s="194"/>
      <c r="AB239" s="194"/>
      <c r="AC239" s="194"/>
      <c r="AD239" s="194"/>
      <c r="AE239" s="194"/>
      <c r="AF239" s="194"/>
      <c r="AG239" s="194"/>
      <c r="AH239" s="194"/>
      <c r="AI239" s="194"/>
      <c r="AJ239" s="194"/>
      <c r="AK239" s="194"/>
      <c r="AL239" s="194"/>
      <c r="AM239" s="194"/>
      <c r="AN239" s="194"/>
      <c r="AO239" s="194"/>
      <c r="AP239" s="194"/>
      <c r="AQ239" s="194"/>
    </row>
    <row r="240" spans="4:43" ht="20.25">
      <c r="D240" s="194"/>
      <c r="E240" s="194"/>
      <c r="F240" s="194"/>
      <c r="G240" s="194"/>
      <c r="H240" s="255"/>
      <c r="I240" s="204"/>
      <c r="J240" s="204"/>
      <c r="K240" s="204"/>
      <c r="L240" s="204"/>
      <c r="M240" s="216"/>
      <c r="N240" s="220"/>
      <c r="O240" s="220"/>
      <c r="P240" s="220"/>
      <c r="Q240" s="220"/>
      <c r="R240" s="220"/>
      <c r="S240" s="194"/>
      <c r="T240" s="194"/>
      <c r="U240" s="194"/>
      <c r="V240" s="194"/>
      <c r="W240" s="194"/>
      <c r="X240" s="194"/>
      <c r="Y240" s="194"/>
      <c r="Z240" s="194"/>
      <c r="AA240" s="194"/>
      <c r="AB240" s="194"/>
      <c r="AC240" s="194"/>
      <c r="AD240" s="194"/>
      <c r="AE240" s="194"/>
      <c r="AF240" s="194"/>
      <c r="AG240" s="194"/>
      <c r="AH240" s="194"/>
      <c r="AI240" s="194"/>
      <c r="AJ240" s="194"/>
      <c r="AK240" s="194"/>
      <c r="AL240" s="194"/>
      <c r="AM240" s="194"/>
      <c r="AN240" s="194"/>
      <c r="AO240" s="194"/>
      <c r="AP240" s="194"/>
      <c r="AQ240" s="194"/>
    </row>
    <row r="241" spans="4:43" ht="20.25">
      <c r="D241" s="194"/>
      <c r="E241" s="194"/>
      <c r="F241" s="194"/>
      <c r="G241" s="194"/>
      <c r="H241" s="255"/>
      <c r="I241" s="204"/>
      <c r="J241" s="204"/>
      <c r="K241" s="204"/>
      <c r="L241" s="204"/>
      <c r="M241" s="216"/>
      <c r="N241" s="220"/>
      <c r="O241" s="220"/>
      <c r="P241" s="220"/>
      <c r="Q241" s="220"/>
      <c r="R241" s="220"/>
      <c r="S241" s="194"/>
      <c r="T241" s="194"/>
      <c r="U241" s="194"/>
      <c r="V241" s="194"/>
      <c r="W241" s="194"/>
      <c r="X241" s="194"/>
      <c r="Y241" s="194"/>
      <c r="Z241" s="194"/>
      <c r="AA241" s="194"/>
      <c r="AB241" s="194"/>
      <c r="AC241" s="194"/>
      <c r="AD241" s="194"/>
      <c r="AE241" s="194"/>
      <c r="AF241" s="194"/>
      <c r="AG241" s="194"/>
      <c r="AH241" s="194"/>
      <c r="AI241" s="194"/>
      <c r="AJ241" s="194"/>
      <c r="AK241" s="194"/>
      <c r="AL241" s="194"/>
      <c r="AM241" s="194"/>
      <c r="AN241" s="194"/>
      <c r="AO241" s="194"/>
      <c r="AP241" s="194"/>
      <c r="AQ241" s="194"/>
    </row>
    <row r="242" spans="4:43" ht="20.25">
      <c r="D242" s="194"/>
      <c r="E242" s="194"/>
      <c r="F242" s="194"/>
      <c r="G242" s="194"/>
      <c r="H242" s="255"/>
      <c r="I242" s="204"/>
      <c r="J242" s="204"/>
      <c r="K242" s="204"/>
      <c r="L242" s="204"/>
      <c r="M242" s="216"/>
      <c r="N242" s="220"/>
      <c r="O242" s="220"/>
      <c r="P242" s="220"/>
      <c r="Q242" s="220"/>
      <c r="R242" s="220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  <c r="AI242" s="194"/>
      <c r="AJ242" s="194"/>
      <c r="AK242" s="194"/>
      <c r="AL242" s="194"/>
      <c r="AM242" s="194"/>
      <c r="AN242" s="194"/>
      <c r="AO242" s="194"/>
      <c r="AP242" s="194"/>
      <c r="AQ242" s="194"/>
    </row>
    <row r="243" spans="4:43" ht="20.25">
      <c r="D243" s="194"/>
      <c r="E243" s="194"/>
      <c r="F243" s="194"/>
      <c r="G243" s="194"/>
      <c r="H243" s="255"/>
      <c r="I243" s="204"/>
      <c r="J243" s="204"/>
      <c r="K243" s="204"/>
      <c r="L243" s="204"/>
      <c r="M243" s="216"/>
      <c r="N243" s="220"/>
      <c r="O243" s="220"/>
      <c r="P243" s="220"/>
      <c r="Q243" s="220"/>
      <c r="R243" s="220"/>
      <c r="S243" s="194"/>
      <c r="T243" s="194"/>
      <c r="U243" s="194"/>
      <c r="V243" s="194"/>
      <c r="W243" s="194"/>
      <c r="X243" s="194"/>
      <c r="Y243" s="194"/>
      <c r="Z243" s="194"/>
      <c r="AA243" s="194"/>
      <c r="AB243" s="194"/>
      <c r="AC243" s="194"/>
      <c r="AD243" s="194"/>
      <c r="AE243" s="194"/>
      <c r="AF243" s="194"/>
      <c r="AG243" s="194"/>
      <c r="AH243" s="194"/>
      <c r="AI243" s="194"/>
      <c r="AJ243" s="194"/>
      <c r="AK243" s="194"/>
      <c r="AL243" s="194"/>
      <c r="AM243" s="194"/>
      <c r="AN243" s="194"/>
      <c r="AO243" s="194"/>
      <c r="AP243" s="194"/>
      <c r="AQ243" s="194"/>
    </row>
    <row r="244" spans="4:43" ht="20.25">
      <c r="D244" s="194"/>
      <c r="E244" s="194"/>
      <c r="F244" s="194"/>
      <c r="G244" s="194"/>
      <c r="H244" s="255"/>
      <c r="I244" s="204"/>
      <c r="J244" s="204"/>
      <c r="K244" s="204"/>
      <c r="L244" s="204"/>
      <c r="M244" s="216"/>
      <c r="N244" s="220"/>
      <c r="O244" s="220"/>
      <c r="P244" s="220"/>
      <c r="Q244" s="220"/>
      <c r="R244" s="220"/>
      <c r="S244" s="194"/>
      <c r="T244" s="194"/>
      <c r="U244" s="194"/>
      <c r="V244" s="194"/>
      <c r="W244" s="194"/>
      <c r="X244" s="194"/>
      <c r="Y244" s="194"/>
      <c r="Z244" s="194"/>
      <c r="AA244" s="194"/>
      <c r="AB244" s="194"/>
      <c r="AC244" s="194"/>
      <c r="AD244" s="194"/>
      <c r="AE244" s="194"/>
      <c r="AF244" s="194"/>
      <c r="AG244" s="194"/>
      <c r="AH244" s="194"/>
      <c r="AI244" s="194"/>
      <c r="AJ244" s="194"/>
      <c r="AK244" s="194"/>
      <c r="AL244" s="194"/>
      <c r="AM244" s="194"/>
      <c r="AN244" s="194"/>
      <c r="AO244" s="194"/>
      <c r="AP244" s="194"/>
      <c r="AQ244" s="194"/>
    </row>
    <row r="245" spans="4:43" ht="20.25">
      <c r="D245" s="194"/>
      <c r="E245" s="194"/>
      <c r="F245" s="194"/>
      <c r="G245" s="194"/>
      <c r="H245" s="255"/>
      <c r="I245" s="204"/>
      <c r="J245" s="204"/>
      <c r="K245" s="204"/>
      <c r="L245" s="204"/>
      <c r="M245" s="216"/>
      <c r="N245" s="220"/>
      <c r="O245" s="220"/>
      <c r="P245" s="220"/>
      <c r="Q245" s="220"/>
      <c r="R245" s="220"/>
      <c r="S245" s="194"/>
      <c r="T245" s="194"/>
      <c r="U245" s="194"/>
      <c r="V245" s="194"/>
      <c r="W245" s="194"/>
      <c r="X245" s="194"/>
      <c r="Y245" s="194"/>
      <c r="Z245" s="194"/>
      <c r="AA245" s="194"/>
      <c r="AB245" s="194"/>
      <c r="AC245" s="194"/>
      <c r="AD245" s="194"/>
      <c r="AE245" s="194"/>
      <c r="AF245" s="194"/>
      <c r="AG245" s="194"/>
      <c r="AH245" s="194"/>
      <c r="AI245" s="194"/>
      <c r="AJ245" s="194"/>
      <c r="AK245" s="194"/>
      <c r="AL245" s="194"/>
      <c r="AM245" s="194"/>
      <c r="AN245" s="194"/>
      <c r="AO245" s="194"/>
      <c r="AP245" s="194"/>
      <c r="AQ245" s="194"/>
    </row>
    <row r="246" spans="4:43" ht="20.25">
      <c r="D246" s="194"/>
      <c r="E246" s="194"/>
      <c r="F246" s="194"/>
      <c r="G246" s="194"/>
      <c r="H246" s="255"/>
      <c r="I246" s="204"/>
      <c r="J246" s="204"/>
      <c r="K246" s="204"/>
      <c r="L246" s="204"/>
      <c r="M246" s="216"/>
      <c r="N246" s="220"/>
      <c r="O246" s="220"/>
      <c r="P246" s="220"/>
      <c r="Q246" s="220"/>
      <c r="R246" s="220"/>
      <c r="S246" s="194"/>
      <c r="T246" s="194"/>
      <c r="U246" s="194"/>
      <c r="V246" s="194"/>
      <c r="W246" s="194"/>
      <c r="X246" s="194"/>
      <c r="Y246" s="194"/>
      <c r="Z246" s="194"/>
      <c r="AA246" s="194"/>
      <c r="AB246" s="194"/>
      <c r="AC246" s="194"/>
      <c r="AD246" s="194"/>
      <c r="AE246" s="194"/>
      <c r="AF246" s="194"/>
      <c r="AG246" s="194"/>
      <c r="AH246" s="194"/>
      <c r="AI246" s="194"/>
      <c r="AJ246" s="194"/>
      <c r="AK246" s="194"/>
      <c r="AL246" s="194"/>
      <c r="AM246" s="194"/>
      <c r="AN246" s="194"/>
      <c r="AO246" s="194"/>
      <c r="AP246" s="194"/>
      <c r="AQ246" s="194"/>
    </row>
    <row r="247" spans="4:43" ht="20.25">
      <c r="D247" s="194"/>
      <c r="E247" s="194"/>
      <c r="F247" s="194"/>
      <c r="G247" s="194"/>
      <c r="H247" s="255"/>
      <c r="I247" s="204"/>
      <c r="J247" s="204"/>
      <c r="K247" s="204"/>
      <c r="L247" s="204"/>
      <c r="M247" s="216"/>
      <c r="N247" s="220"/>
      <c r="O247" s="220"/>
      <c r="P247" s="220"/>
      <c r="Q247" s="220"/>
      <c r="R247" s="220"/>
      <c r="S247" s="194"/>
      <c r="T247" s="194"/>
      <c r="U247" s="194"/>
      <c r="V247" s="194"/>
      <c r="W247" s="194"/>
      <c r="X247" s="194"/>
      <c r="Y247" s="194"/>
      <c r="Z247" s="194"/>
      <c r="AA247" s="194"/>
      <c r="AB247" s="194"/>
      <c r="AC247" s="194"/>
      <c r="AD247" s="194"/>
      <c r="AE247" s="194"/>
      <c r="AF247" s="194"/>
      <c r="AG247" s="194"/>
      <c r="AH247" s="194"/>
      <c r="AI247" s="194"/>
      <c r="AJ247" s="194"/>
      <c r="AK247" s="194"/>
      <c r="AL247" s="194"/>
      <c r="AM247" s="194"/>
      <c r="AN247" s="194"/>
      <c r="AO247" s="194"/>
      <c r="AP247" s="194"/>
      <c r="AQ247" s="194"/>
    </row>
    <row r="248" spans="4:43" ht="20.25">
      <c r="D248" s="194"/>
      <c r="E248" s="194"/>
      <c r="F248" s="194"/>
      <c r="G248" s="194"/>
      <c r="H248" s="255"/>
      <c r="I248" s="204"/>
      <c r="J248" s="204"/>
      <c r="K248" s="204"/>
      <c r="L248" s="204"/>
      <c r="M248" s="216"/>
      <c r="N248" s="220"/>
      <c r="O248" s="220"/>
      <c r="P248" s="220"/>
      <c r="Q248" s="220"/>
      <c r="R248" s="220"/>
      <c r="S248" s="194"/>
      <c r="T248" s="194"/>
      <c r="U248" s="194"/>
      <c r="V248" s="194"/>
      <c r="W248" s="194"/>
      <c r="X248" s="194"/>
      <c r="Y248" s="194"/>
      <c r="Z248" s="194"/>
      <c r="AA248" s="194"/>
      <c r="AB248" s="194"/>
      <c r="AC248" s="194"/>
      <c r="AD248" s="194"/>
      <c r="AE248" s="194"/>
      <c r="AF248" s="194"/>
      <c r="AG248" s="194"/>
      <c r="AH248" s="194"/>
      <c r="AI248" s="194"/>
      <c r="AJ248" s="194"/>
      <c r="AK248" s="194"/>
      <c r="AL248" s="194"/>
      <c r="AM248" s="194"/>
      <c r="AN248" s="194"/>
      <c r="AO248" s="194"/>
      <c r="AP248" s="194"/>
      <c r="AQ248" s="194"/>
    </row>
    <row r="249" spans="4:43" ht="20.25">
      <c r="D249" s="194"/>
      <c r="E249" s="194"/>
      <c r="F249" s="194"/>
      <c r="G249" s="194"/>
      <c r="H249" s="255"/>
      <c r="I249" s="204"/>
      <c r="J249" s="204"/>
      <c r="K249" s="204"/>
      <c r="L249" s="204"/>
      <c r="M249" s="216"/>
      <c r="N249" s="220"/>
      <c r="O249" s="220"/>
      <c r="P249" s="220"/>
      <c r="Q249" s="220"/>
      <c r="R249" s="220"/>
      <c r="S249" s="194"/>
      <c r="T249" s="194"/>
      <c r="U249" s="194"/>
      <c r="V249" s="194"/>
      <c r="W249" s="194"/>
      <c r="X249" s="194"/>
      <c r="Y249" s="194"/>
      <c r="Z249" s="194"/>
      <c r="AA249" s="194"/>
      <c r="AB249" s="194"/>
      <c r="AC249" s="194"/>
      <c r="AD249" s="194"/>
      <c r="AE249" s="194"/>
      <c r="AF249" s="194"/>
      <c r="AG249" s="194"/>
      <c r="AH249" s="194"/>
      <c r="AI249" s="194"/>
      <c r="AJ249" s="194"/>
      <c r="AK249" s="194"/>
      <c r="AL249" s="194"/>
      <c r="AM249" s="194"/>
      <c r="AN249" s="194"/>
      <c r="AO249" s="194"/>
      <c r="AP249" s="194"/>
      <c r="AQ249" s="194"/>
    </row>
    <row r="250" spans="4:43" ht="20.25">
      <c r="D250" s="194"/>
      <c r="E250" s="194"/>
      <c r="F250" s="194"/>
      <c r="G250" s="194"/>
      <c r="H250" s="255"/>
      <c r="I250" s="204"/>
      <c r="J250" s="204"/>
      <c r="K250" s="204"/>
      <c r="L250" s="204"/>
      <c r="M250" s="216"/>
      <c r="N250" s="220"/>
      <c r="O250" s="220"/>
      <c r="P250" s="220"/>
      <c r="Q250" s="220"/>
      <c r="R250" s="220"/>
      <c r="S250" s="194"/>
      <c r="T250" s="194"/>
      <c r="U250" s="194"/>
      <c r="V250" s="194"/>
      <c r="W250" s="194"/>
      <c r="X250" s="194"/>
      <c r="Y250" s="194"/>
      <c r="Z250" s="194"/>
      <c r="AA250" s="194"/>
      <c r="AB250" s="194"/>
      <c r="AC250" s="194"/>
      <c r="AD250" s="194"/>
      <c r="AE250" s="194"/>
      <c r="AF250" s="194"/>
      <c r="AG250" s="194"/>
      <c r="AH250" s="194"/>
      <c r="AI250" s="194"/>
      <c r="AJ250" s="194"/>
      <c r="AK250" s="194"/>
      <c r="AL250" s="194"/>
      <c r="AM250" s="194"/>
      <c r="AN250" s="194"/>
      <c r="AO250" s="194"/>
      <c r="AP250" s="194"/>
      <c r="AQ250" s="194"/>
    </row>
    <row r="251" spans="4:43" ht="20.25">
      <c r="D251" s="194"/>
      <c r="E251" s="194"/>
      <c r="F251" s="194"/>
      <c r="G251" s="194"/>
      <c r="H251" s="255"/>
      <c r="I251" s="204"/>
      <c r="J251" s="204"/>
      <c r="K251" s="204"/>
      <c r="L251" s="204"/>
      <c r="M251" s="216"/>
      <c r="N251" s="220"/>
      <c r="O251" s="220"/>
      <c r="P251" s="220"/>
      <c r="Q251" s="220"/>
      <c r="R251" s="220"/>
      <c r="S251" s="194"/>
      <c r="T251" s="194"/>
      <c r="U251" s="194"/>
      <c r="V251" s="194"/>
      <c r="W251" s="194"/>
      <c r="X251" s="194"/>
      <c r="Y251" s="194"/>
      <c r="Z251" s="194"/>
      <c r="AA251" s="194"/>
      <c r="AB251" s="194"/>
      <c r="AC251" s="194"/>
      <c r="AD251" s="194"/>
      <c r="AE251" s="194"/>
      <c r="AF251" s="194"/>
      <c r="AG251" s="194"/>
      <c r="AH251" s="194"/>
      <c r="AI251" s="194"/>
      <c r="AJ251" s="194"/>
      <c r="AK251" s="194"/>
      <c r="AL251" s="194"/>
      <c r="AM251" s="194"/>
      <c r="AN251" s="194"/>
      <c r="AO251" s="194"/>
      <c r="AP251" s="194"/>
      <c r="AQ251" s="194"/>
    </row>
    <row r="252" spans="4:43" ht="20.25">
      <c r="D252" s="194"/>
      <c r="E252" s="194"/>
      <c r="F252" s="194"/>
      <c r="G252" s="194"/>
      <c r="H252" s="255"/>
      <c r="I252" s="204"/>
      <c r="J252" s="204"/>
      <c r="K252" s="204"/>
      <c r="L252" s="204"/>
      <c r="M252" s="216"/>
      <c r="N252" s="220"/>
      <c r="O252" s="220"/>
      <c r="P252" s="220"/>
      <c r="Q252" s="220"/>
      <c r="R252" s="220"/>
      <c r="S252" s="194"/>
      <c r="T252" s="194"/>
      <c r="U252" s="194"/>
      <c r="V252" s="194"/>
      <c r="W252" s="194"/>
      <c r="X252" s="194"/>
      <c r="Y252" s="194"/>
      <c r="Z252" s="194"/>
      <c r="AA252" s="194"/>
      <c r="AB252" s="194"/>
      <c r="AC252" s="194"/>
      <c r="AD252" s="194"/>
      <c r="AE252" s="194"/>
      <c r="AF252" s="194"/>
      <c r="AG252" s="194"/>
      <c r="AH252" s="194"/>
      <c r="AI252" s="194"/>
      <c r="AJ252" s="194"/>
      <c r="AK252" s="194"/>
      <c r="AL252" s="194"/>
      <c r="AM252" s="194"/>
      <c r="AN252" s="194"/>
      <c r="AO252" s="194"/>
      <c r="AP252" s="194"/>
      <c r="AQ252" s="194"/>
    </row>
    <row r="253" spans="4:43" ht="20.25">
      <c r="D253" s="194"/>
      <c r="E253" s="194"/>
      <c r="F253" s="194"/>
      <c r="G253" s="194"/>
      <c r="H253" s="255"/>
      <c r="I253" s="204"/>
      <c r="J253" s="204"/>
      <c r="K253" s="204"/>
      <c r="L253" s="204"/>
      <c r="M253" s="216"/>
      <c r="N253" s="220"/>
      <c r="O253" s="220"/>
      <c r="P253" s="220"/>
      <c r="Q253" s="220"/>
      <c r="R253" s="220"/>
      <c r="S253" s="194"/>
      <c r="T253" s="194"/>
      <c r="U253" s="194"/>
      <c r="V253" s="194"/>
      <c r="W253" s="194"/>
      <c r="X253" s="194"/>
      <c r="Y253" s="194"/>
      <c r="Z253" s="194"/>
      <c r="AA253" s="194"/>
      <c r="AB253" s="194"/>
      <c r="AC253" s="194"/>
      <c r="AD253" s="194"/>
      <c r="AE253" s="194"/>
      <c r="AF253" s="194"/>
      <c r="AG253" s="194"/>
      <c r="AH253" s="194"/>
      <c r="AI253" s="194"/>
      <c r="AJ253" s="194"/>
      <c r="AK253" s="194"/>
      <c r="AL253" s="194"/>
      <c r="AM253" s="194"/>
      <c r="AN253" s="194"/>
      <c r="AO253" s="194"/>
      <c r="AP253" s="194"/>
      <c r="AQ253" s="194"/>
    </row>
    <row r="254" spans="4:43" ht="20.25">
      <c r="D254" s="194"/>
      <c r="E254" s="194"/>
      <c r="F254" s="194"/>
      <c r="G254" s="194"/>
      <c r="H254" s="255"/>
      <c r="I254" s="204"/>
      <c r="J254" s="204"/>
      <c r="K254" s="204"/>
      <c r="L254" s="204"/>
      <c r="M254" s="216"/>
      <c r="N254" s="220"/>
      <c r="O254" s="220"/>
      <c r="P254" s="220"/>
      <c r="Q254" s="220"/>
      <c r="R254" s="220"/>
      <c r="S254" s="194"/>
      <c r="T254" s="194"/>
      <c r="U254" s="194"/>
      <c r="V254" s="194"/>
      <c r="W254" s="194"/>
      <c r="X254" s="194"/>
      <c r="Y254" s="194"/>
      <c r="Z254" s="194"/>
      <c r="AA254" s="194"/>
      <c r="AB254" s="194"/>
      <c r="AC254" s="194"/>
      <c r="AD254" s="194"/>
      <c r="AE254" s="194"/>
      <c r="AF254" s="194"/>
      <c r="AG254" s="194"/>
      <c r="AH254" s="194"/>
      <c r="AI254" s="194"/>
      <c r="AJ254" s="194"/>
      <c r="AK254" s="194"/>
      <c r="AL254" s="194"/>
      <c r="AM254" s="194"/>
      <c r="AN254" s="194"/>
      <c r="AO254" s="194"/>
      <c r="AP254" s="194"/>
      <c r="AQ254" s="194"/>
    </row>
    <row r="255" spans="4:43" ht="20.25">
      <c r="D255" s="194"/>
      <c r="E255" s="194"/>
      <c r="F255" s="194"/>
      <c r="G255" s="194"/>
      <c r="H255" s="255"/>
      <c r="I255" s="204"/>
      <c r="J255" s="204"/>
      <c r="K255" s="204"/>
      <c r="L255" s="204"/>
      <c r="M255" s="216"/>
      <c r="N255" s="220"/>
      <c r="O255" s="220"/>
      <c r="P255" s="220"/>
      <c r="Q255" s="220"/>
      <c r="R255" s="220"/>
      <c r="S255" s="194"/>
      <c r="T255" s="194"/>
      <c r="U255" s="194"/>
      <c r="V255" s="194"/>
      <c r="W255" s="194"/>
      <c r="X255" s="194"/>
      <c r="Y255" s="194"/>
      <c r="Z255" s="194"/>
      <c r="AA255" s="194"/>
      <c r="AB255" s="194"/>
      <c r="AC255" s="194"/>
      <c r="AD255" s="194"/>
      <c r="AE255" s="194"/>
      <c r="AF255" s="194"/>
      <c r="AG255" s="194"/>
      <c r="AH255" s="194"/>
      <c r="AI255" s="194"/>
      <c r="AJ255" s="194"/>
      <c r="AK255" s="194"/>
      <c r="AL255" s="194"/>
      <c r="AM255" s="194"/>
      <c r="AN255" s="194"/>
      <c r="AO255" s="194"/>
      <c r="AP255" s="194"/>
      <c r="AQ255" s="194"/>
    </row>
    <row r="256" spans="4:43" ht="20.25">
      <c r="D256" s="194"/>
      <c r="E256" s="194"/>
      <c r="F256" s="194"/>
      <c r="G256" s="194"/>
      <c r="H256" s="255"/>
      <c r="I256" s="204"/>
      <c r="J256" s="204"/>
      <c r="K256" s="204"/>
      <c r="L256" s="204"/>
      <c r="M256" s="216"/>
      <c r="N256" s="220"/>
      <c r="O256" s="220"/>
      <c r="P256" s="220"/>
      <c r="Q256" s="220"/>
      <c r="R256" s="220"/>
      <c r="S256" s="194"/>
      <c r="T256" s="194"/>
      <c r="U256" s="194"/>
      <c r="V256" s="194"/>
      <c r="W256" s="194"/>
      <c r="X256" s="194"/>
      <c r="Y256" s="194"/>
      <c r="Z256" s="194"/>
      <c r="AA256" s="194"/>
      <c r="AB256" s="194"/>
      <c r="AC256" s="194"/>
      <c r="AD256" s="194"/>
      <c r="AE256" s="194"/>
      <c r="AF256" s="194"/>
      <c r="AG256" s="194"/>
      <c r="AH256" s="194"/>
      <c r="AI256" s="194"/>
      <c r="AJ256" s="194"/>
      <c r="AK256" s="194"/>
      <c r="AL256" s="194"/>
      <c r="AM256" s="194"/>
      <c r="AN256" s="194"/>
      <c r="AO256" s="194"/>
      <c r="AP256" s="194"/>
      <c r="AQ256" s="194"/>
    </row>
    <row r="257" spans="4:43" ht="20.25">
      <c r="D257" s="194"/>
      <c r="E257" s="194"/>
      <c r="F257" s="194"/>
      <c r="G257" s="194"/>
      <c r="H257" s="255"/>
      <c r="I257" s="204"/>
      <c r="J257" s="204"/>
      <c r="K257" s="204"/>
      <c r="L257" s="204"/>
      <c r="M257" s="216"/>
      <c r="N257" s="220"/>
      <c r="O257" s="220"/>
      <c r="P257" s="220"/>
      <c r="Q257" s="220"/>
      <c r="R257" s="220"/>
      <c r="S257" s="194"/>
      <c r="T257" s="194"/>
      <c r="U257" s="194"/>
      <c r="V257" s="194"/>
      <c r="W257" s="194"/>
      <c r="X257" s="194"/>
      <c r="Y257" s="194"/>
      <c r="Z257" s="194"/>
      <c r="AA257" s="194"/>
      <c r="AB257" s="194"/>
      <c r="AC257" s="194"/>
      <c r="AD257" s="194"/>
      <c r="AE257" s="194"/>
      <c r="AF257" s="194"/>
      <c r="AG257" s="194"/>
      <c r="AH257" s="194"/>
      <c r="AI257" s="194"/>
      <c r="AJ257" s="194"/>
      <c r="AK257" s="194"/>
      <c r="AL257" s="194"/>
      <c r="AM257" s="194"/>
      <c r="AN257" s="194"/>
      <c r="AO257" s="194"/>
      <c r="AP257" s="194"/>
      <c r="AQ257" s="194"/>
    </row>
    <row r="258" spans="4:43" ht="20.25">
      <c r="D258" s="194"/>
      <c r="E258" s="194"/>
      <c r="F258" s="194"/>
      <c r="G258" s="194"/>
      <c r="H258" s="255"/>
      <c r="I258" s="204"/>
      <c r="J258" s="204"/>
      <c r="K258" s="204"/>
      <c r="L258" s="204"/>
      <c r="M258" s="216"/>
      <c r="N258" s="220"/>
      <c r="O258" s="220"/>
      <c r="P258" s="220"/>
      <c r="Q258" s="220"/>
      <c r="R258" s="220"/>
      <c r="S258" s="194"/>
      <c r="T258" s="194"/>
      <c r="U258" s="194"/>
      <c r="V258" s="194"/>
      <c r="W258" s="194"/>
      <c r="X258" s="194"/>
      <c r="Y258" s="194"/>
      <c r="Z258" s="194"/>
      <c r="AA258" s="194"/>
      <c r="AB258" s="194"/>
      <c r="AC258" s="194"/>
      <c r="AD258" s="194"/>
      <c r="AE258" s="194"/>
      <c r="AF258" s="194"/>
      <c r="AG258" s="194"/>
      <c r="AH258" s="194"/>
      <c r="AI258" s="194"/>
      <c r="AJ258" s="194"/>
      <c r="AK258" s="194"/>
      <c r="AL258" s="194"/>
      <c r="AM258" s="194"/>
      <c r="AN258" s="194"/>
      <c r="AO258" s="194"/>
      <c r="AP258" s="194"/>
      <c r="AQ258" s="194"/>
    </row>
    <row r="259" spans="4:43" ht="20.25">
      <c r="D259" s="194"/>
      <c r="E259" s="194"/>
      <c r="F259" s="194"/>
      <c r="G259" s="194"/>
      <c r="H259" s="255"/>
      <c r="I259" s="204"/>
      <c r="J259" s="204"/>
      <c r="K259" s="204"/>
      <c r="L259" s="204"/>
      <c r="M259" s="216"/>
      <c r="N259" s="220"/>
      <c r="O259" s="220"/>
      <c r="P259" s="220"/>
      <c r="Q259" s="220"/>
      <c r="R259" s="220"/>
      <c r="S259" s="194"/>
      <c r="T259" s="194"/>
      <c r="U259" s="194"/>
      <c r="V259" s="194"/>
      <c r="W259" s="194"/>
      <c r="X259" s="194"/>
      <c r="Y259" s="194"/>
      <c r="Z259" s="194"/>
      <c r="AA259" s="194"/>
      <c r="AB259" s="194"/>
      <c r="AC259" s="194"/>
      <c r="AD259" s="194"/>
      <c r="AE259" s="194"/>
      <c r="AF259" s="194"/>
      <c r="AG259" s="194"/>
      <c r="AH259" s="194"/>
      <c r="AI259" s="194"/>
      <c r="AJ259" s="194"/>
      <c r="AK259" s="194"/>
      <c r="AL259" s="194"/>
      <c r="AM259" s="194"/>
      <c r="AN259" s="194"/>
      <c r="AO259" s="194"/>
      <c r="AP259" s="194"/>
      <c r="AQ259" s="194"/>
    </row>
    <row r="260" spans="4:43" ht="20.25">
      <c r="D260" s="194"/>
      <c r="E260" s="194"/>
      <c r="F260" s="194"/>
      <c r="G260" s="194"/>
      <c r="H260" s="255"/>
      <c r="I260" s="204"/>
      <c r="J260" s="204"/>
      <c r="K260" s="204"/>
      <c r="L260" s="204"/>
      <c r="M260" s="216"/>
      <c r="N260" s="220"/>
      <c r="O260" s="220"/>
      <c r="P260" s="220"/>
      <c r="Q260" s="220"/>
      <c r="R260" s="220"/>
      <c r="S260" s="194"/>
      <c r="T260" s="194"/>
      <c r="U260" s="194"/>
      <c r="V260" s="194"/>
      <c r="W260" s="194"/>
      <c r="X260" s="194"/>
      <c r="Y260" s="194"/>
      <c r="Z260" s="194"/>
      <c r="AA260" s="194"/>
      <c r="AB260" s="194"/>
      <c r="AC260" s="194"/>
      <c r="AD260" s="194"/>
      <c r="AE260" s="194"/>
      <c r="AF260" s="194"/>
      <c r="AG260" s="194"/>
      <c r="AH260" s="194"/>
      <c r="AI260" s="194"/>
      <c r="AJ260" s="194"/>
      <c r="AK260" s="194"/>
      <c r="AL260" s="194"/>
      <c r="AM260" s="194"/>
      <c r="AN260" s="194"/>
      <c r="AO260" s="194"/>
      <c r="AP260" s="194"/>
      <c r="AQ260" s="194"/>
    </row>
    <row r="261" spans="4:43" ht="20.25">
      <c r="D261" s="194"/>
      <c r="E261" s="194"/>
      <c r="F261" s="194"/>
      <c r="G261" s="194"/>
      <c r="H261" s="255"/>
      <c r="I261" s="204"/>
      <c r="J261" s="204"/>
      <c r="K261" s="204"/>
      <c r="L261" s="204"/>
      <c r="M261" s="216"/>
      <c r="N261" s="220"/>
      <c r="O261" s="220"/>
      <c r="P261" s="220"/>
      <c r="Q261" s="220"/>
      <c r="R261" s="220"/>
      <c r="S261" s="194"/>
      <c r="T261" s="194"/>
      <c r="U261" s="194"/>
      <c r="V261" s="194"/>
      <c r="W261" s="194"/>
      <c r="X261" s="194"/>
      <c r="Y261" s="194"/>
      <c r="Z261" s="194"/>
      <c r="AA261" s="194"/>
      <c r="AB261" s="194"/>
      <c r="AC261" s="194"/>
      <c r="AD261" s="194"/>
      <c r="AE261" s="194"/>
      <c r="AF261" s="194"/>
      <c r="AG261" s="194"/>
      <c r="AH261" s="194"/>
      <c r="AI261" s="194"/>
      <c r="AJ261" s="194"/>
      <c r="AK261" s="194"/>
      <c r="AL261" s="194"/>
      <c r="AM261" s="194"/>
      <c r="AN261" s="194"/>
      <c r="AO261" s="194"/>
      <c r="AP261" s="194"/>
      <c r="AQ261" s="194"/>
    </row>
    <row r="262" spans="4:43" ht="20.25">
      <c r="D262" s="194"/>
      <c r="E262" s="194"/>
      <c r="F262" s="194"/>
      <c r="G262" s="194"/>
      <c r="H262" s="255"/>
      <c r="I262" s="204"/>
      <c r="J262" s="204"/>
      <c r="K262" s="204"/>
      <c r="L262" s="204"/>
      <c r="M262" s="216"/>
      <c r="N262" s="220"/>
      <c r="O262" s="220"/>
      <c r="P262" s="220"/>
      <c r="Q262" s="220"/>
      <c r="R262" s="220"/>
      <c r="S262" s="194"/>
      <c r="T262" s="194"/>
      <c r="U262" s="194"/>
      <c r="V262" s="194"/>
      <c r="W262" s="194"/>
      <c r="X262" s="194"/>
      <c r="Y262" s="194"/>
      <c r="Z262" s="194"/>
      <c r="AA262" s="194"/>
      <c r="AB262" s="194"/>
      <c r="AC262" s="194"/>
      <c r="AD262" s="194"/>
      <c r="AE262" s="194"/>
      <c r="AF262" s="194"/>
      <c r="AG262" s="194"/>
      <c r="AH262" s="194"/>
      <c r="AI262" s="194"/>
      <c r="AJ262" s="194"/>
      <c r="AK262" s="194"/>
      <c r="AL262" s="194"/>
      <c r="AM262" s="194"/>
      <c r="AN262" s="194"/>
      <c r="AO262" s="194"/>
      <c r="AP262" s="194"/>
      <c r="AQ262" s="194"/>
    </row>
    <row r="263" spans="4:43" ht="20.25">
      <c r="D263" s="194"/>
      <c r="E263" s="194"/>
      <c r="F263" s="194"/>
      <c r="G263" s="194"/>
      <c r="H263" s="255"/>
      <c r="I263" s="204"/>
      <c r="J263" s="204"/>
      <c r="K263" s="204"/>
      <c r="L263" s="204"/>
      <c r="M263" s="216"/>
      <c r="N263" s="220"/>
      <c r="O263" s="220"/>
      <c r="P263" s="220"/>
      <c r="Q263" s="220"/>
      <c r="R263" s="220"/>
      <c r="S263" s="194"/>
      <c r="T263" s="194"/>
      <c r="U263" s="194"/>
      <c r="V263" s="194"/>
      <c r="W263" s="194"/>
      <c r="X263" s="194"/>
      <c r="Y263" s="194"/>
      <c r="Z263" s="194"/>
      <c r="AA263" s="194"/>
      <c r="AB263" s="194"/>
      <c r="AC263" s="194"/>
      <c r="AD263" s="194"/>
      <c r="AE263" s="194"/>
      <c r="AF263" s="194"/>
      <c r="AG263" s="194"/>
      <c r="AH263" s="194"/>
      <c r="AI263" s="194"/>
      <c r="AJ263" s="194"/>
      <c r="AK263" s="194"/>
      <c r="AL263" s="194"/>
      <c r="AM263" s="194"/>
      <c r="AN263" s="194"/>
      <c r="AO263" s="194"/>
      <c r="AP263" s="194"/>
      <c r="AQ263" s="194"/>
    </row>
    <row r="264" spans="4:43" ht="20.25">
      <c r="D264" s="194"/>
      <c r="E264" s="194"/>
      <c r="F264" s="194"/>
      <c r="G264" s="194"/>
      <c r="H264" s="255"/>
      <c r="I264" s="204"/>
      <c r="J264" s="204"/>
      <c r="K264" s="204"/>
      <c r="L264" s="204"/>
      <c r="M264" s="216"/>
      <c r="N264" s="220"/>
      <c r="O264" s="220"/>
      <c r="P264" s="220"/>
      <c r="Q264" s="220"/>
      <c r="R264" s="220"/>
      <c r="S264" s="194"/>
      <c r="T264" s="194"/>
      <c r="U264" s="194"/>
      <c r="V264" s="194"/>
      <c r="W264" s="194"/>
      <c r="X264" s="194"/>
      <c r="Y264" s="194"/>
      <c r="Z264" s="194"/>
      <c r="AA264" s="194"/>
      <c r="AB264" s="194"/>
      <c r="AC264" s="194"/>
      <c r="AD264" s="194"/>
      <c r="AE264" s="194"/>
      <c r="AF264" s="194"/>
      <c r="AG264" s="194"/>
      <c r="AH264" s="194"/>
      <c r="AI264" s="194"/>
      <c r="AJ264" s="194"/>
      <c r="AK264" s="194"/>
      <c r="AL264" s="194"/>
      <c r="AM264" s="194"/>
      <c r="AN264" s="194"/>
      <c r="AO264" s="194"/>
      <c r="AP264" s="194"/>
      <c r="AQ264" s="194"/>
    </row>
    <row r="265" spans="4:43" ht="20.25">
      <c r="D265" s="194"/>
      <c r="E265" s="194"/>
      <c r="F265" s="194"/>
      <c r="G265" s="194"/>
      <c r="H265" s="255"/>
      <c r="I265" s="204"/>
      <c r="J265" s="204"/>
      <c r="K265" s="204"/>
      <c r="L265" s="204"/>
      <c r="M265" s="216"/>
      <c r="N265" s="220"/>
      <c r="O265" s="220"/>
      <c r="P265" s="220"/>
      <c r="Q265" s="220"/>
      <c r="R265" s="220"/>
      <c r="S265" s="194"/>
      <c r="T265" s="194"/>
      <c r="U265" s="194"/>
      <c r="V265" s="194"/>
      <c r="W265" s="194"/>
      <c r="X265" s="194"/>
      <c r="Y265" s="194"/>
      <c r="Z265" s="194"/>
      <c r="AA265" s="194"/>
      <c r="AB265" s="194"/>
      <c r="AC265" s="194"/>
      <c r="AD265" s="194"/>
      <c r="AE265" s="194"/>
      <c r="AF265" s="194"/>
      <c r="AG265" s="194"/>
      <c r="AH265" s="194"/>
      <c r="AI265" s="194"/>
      <c r="AJ265" s="194"/>
      <c r="AK265" s="194"/>
      <c r="AL265" s="194"/>
      <c r="AM265" s="194"/>
      <c r="AN265" s="194"/>
      <c r="AO265" s="194"/>
      <c r="AP265" s="194"/>
      <c r="AQ265" s="194"/>
    </row>
    <row r="266" spans="4:43" ht="20.25">
      <c r="D266" s="194"/>
      <c r="E266" s="194"/>
      <c r="F266" s="194"/>
      <c r="G266" s="194"/>
      <c r="H266" s="255"/>
      <c r="I266" s="204"/>
      <c r="J266" s="204"/>
      <c r="K266" s="204"/>
      <c r="L266" s="204"/>
      <c r="M266" s="216"/>
      <c r="N266" s="220"/>
      <c r="O266" s="220"/>
      <c r="P266" s="220"/>
      <c r="Q266" s="220"/>
      <c r="R266" s="220"/>
      <c r="S266" s="194"/>
      <c r="T266" s="194"/>
      <c r="U266" s="194"/>
      <c r="V266" s="194"/>
      <c r="W266" s="194"/>
      <c r="X266" s="194"/>
      <c r="Y266" s="194"/>
      <c r="Z266" s="194"/>
      <c r="AA266" s="194"/>
      <c r="AB266" s="194"/>
      <c r="AC266" s="194"/>
      <c r="AD266" s="194"/>
      <c r="AE266" s="194"/>
      <c r="AF266" s="194"/>
      <c r="AG266" s="194"/>
      <c r="AH266" s="194"/>
      <c r="AI266" s="194"/>
      <c r="AJ266" s="194"/>
      <c r="AK266" s="194"/>
      <c r="AL266" s="194"/>
      <c r="AM266" s="194"/>
      <c r="AN266" s="194"/>
      <c r="AO266" s="194"/>
      <c r="AP266" s="194"/>
      <c r="AQ266" s="194"/>
    </row>
    <row r="267" spans="4:43" ht="20.25">
      <c r="D267" s="194"/>
      <c r="E267" s="194"/>
      <c r="F267" s="194"/>
      <c r="G267" s="194"/>
      <c r="H267" s="255"/>
      <c r="I267" s="204"/>
      <c r="J267" s="204"/>
      <c r="K267" s="204"/>
      <c r="L267" s="204"/>
      <c r="M267" s="216"/>
      <c r="N267" s="220"/>
      <c r="O267" s="220"/>
      <c r="P267" s="220"/>
      <c r="Q267" s="220"/>
      <c r="R267" s="220"/>
      <c r="S267" s="194"/>
      <c r="T267" s="194"/>
      <c r="U267" s="194"/>
      <c r="V267" s="194"/>
      <c r="W267" s="194"/>
      <c r="X267" s="194"/>
      <c r="Y267" s="194"/>
      <c r="Z267" s="194"/>
      <c r="AA267" s="194"/>
      <c r="AB267" s="194"/>
      <c r="AC267" s="194"/>
      <c r="AD267" s="194"/>
      <c r="AE267" s="194"/>
      <c r="AF267" s="194"/>
      <c r="AG267" s="194"/>
      <c r="AH267" s="194"/>
      <c r="AI267" s="194"/>
      <c r="AJ267" s="194"/>
      <c r="AK267" s="194"/>
      <c r="AL267" s="194"/>
      <c r="AM267" s="194"/>
      <c r="AN267" s="194"/>
      <c r="AO267" s="194"/>
      <c r="AP267" s="194"/>
      <c r="AQ267" s="194"/>
    </row>
    <row r="268" spans="4:43" ht="20.25">
      <c r="D268" s="194"/>
      <c r="E268" s="194"/>
      <c r="F268" s="194"/>
      <c r="G268" s="194"/>
      <c r="H268" s="255"/>
      <c r="I268" s="204"/>
      <c r="J268" s="204"/>
      <c r="K268" s="204"/>
      <c r="L268" s="204"/>
      <c r="M268" s="216"/>
      <c r="N268" s="220"/>
      <c r="O268" s="220"/>
      <c r="P268" s="220"/>
      <c r="Q268" s="220"/>
      <c r="R268" s="220"/>
      <c r="S268" s="194"/>
      <c r="T268" s="194"/>
      <c r="U268" s="194"/>
      <c r="V268" s="194"/>
      <c r="W268" s="194"/>
      <c r="X268" s="194"/>
      <c r="Y268" s="194"/>
      <c r="Z268" s="194"/>
      <c r="AA268" s="194"/>
      <c r="AB268" s="194"/>
      <c r="AC268" s="194"/>
      <c r="AD268" s="194"/>
      <c r="AE268" s="194"/>
      <c r="AF268" s="194"/>
      <c r="AG268" s="194"/>
      <c r="AH268" s="194"/>
      <c r="AI268" s="194"/>
      <c r="AJ268" s="194"/>
      <c r="AK268" s="194"/>
      <c r="AL268" s="194"/>
      <c r="AM268" s="194"/>
      <c r="AN268" s="194"/>
      <c r="AO268" s="194"/>
      <c r="AP268" s="194"/>
      <c r="AQ268" s="194"/>
    </row>
    <row r="269" spans="4:43" ht="20.25">
      <c r="D269" s="194"/>
      <c r="E269" s="194"/>
      <c r="F269" s="194"/>
      <c r="G269" s="194"/>
      <c r="H269" s="255"/>
      <c r="I269" s="204"/>
      <c r="J269" s="204"/>
      <c r="K269" s="204"/>
      <c r="L269" s="204"/>
      <c r="M269" s="216"/>
      <c r="N269" s="220"/>
      <c r="O269" s="220"/>
      <c r="P269" s="220"/>
      <c r="Q269" s="220"/>
      <c r="R269" s="220"/>
      <c r="S269" s="194"/>
      <c r="T269" s="194"/>
      <c r="U269" s="194"/>
      <c r="V269" s="194"/>
      <c r="W269" s="194"/>
      <c r="X269" s="194"/>
      <c r="Y269" s="194"/>
      <c r="Z269" s="194"/>
      <c r="AA269" s="194"/>
      <c r="AB269" s="194"/>
      <c r="AC269" s="194"/>
      <c r="AD269" s="194"/>
      <c r="AE269" s="194"/>
      <c r="AF269" s="194"/>
      <c r="AG269" s="194"/>
      <c r="AH269" s="194"/>
      <c r="AI269" s="194"/>
      <c r="AJ269" s="194"/>
      <c r="AK269" s="194"/>
      <c r="AL269" s="194"/>
      <c r="AM269" s="194"/>
      <c r="AN269" s="194"/>
      <c r="AO269" s="194"/>
      <c r="AP269" s="194"/>
      <c r="AQ269" s="194"/>
    </row>
    <row r="270" spans="4:43" ht="20.25">
      <c r="D270" s="194"/>
      <c r="E270" s="194"/>
      <c r="F270" s="194"/>
      <c r="G270" s="194"/>
      <c r="H270" s="255"/>
      <c r="I270" s="204"/>
      <c r="J270" s="204"/>
      <c r="K270" s="204"/>
      <c r="L270" s="204"/>
      <c r="M270" s="216"/>
      <c r="N270" s="220"/>
      <c r="O270" s="220"/>
      <c r="P270" s="220"/>
      <c r="Q270" s="220"/>
      <c r="R270" s="220"/>
      <c r="S270" s="194"/>
      <c r="T270" s="194"/>
      <c r="U270" s="194"/>
      <c r="V270" s="194"/>
      <c r="W270" s="194"/>
      <c r="X270" s="194"/>
      <c r="Y270" s="194"/>
      <c r="Z270" s="194"/>
      <c r="AA270" s="194"/>
      <c r="AB270" s="194"/>
      <c r="AC270" s="194"/>
      <c r="AD270" s="194"/>
      <c r="AE270" s="194"/>
      <c r="AF270" s="194"/>
      <c r="AG270" s="194"/>
      <c r="AH270" s="194"/>
      <c r="AI270" s="194"/>
      <c r="AJ270" s="194"/>
      <c r="AK270" s="194"/>
      <c r="AL270" s="194"/>
      <c r="AM270" s="194"/>
      <c r="AN270" s="194"/>
      <c r="AO270" s="194"/>
      <c r="AP270" s="194"/>
      <c r="AQ270" s="194"/>
    </row>
    <row r="271" spans="4:43" ht="20.25">
      <c r="D271" s="194"/>
      <c r="E271" s="194"/>
      <c r="F271" s="194"/>
      <c r="G271" s="194"/>
      <c r="H271" s="255"/>
      <c r="I271" s="204"/>
      <c r="J271" s="204"/>
      <c r="K271" s="204"/>
      <c r="L271" s="204"/>
      <c r="M271" s="216"/>
      <c r="N271" s="220"/>
      <c r="O271" s="220"/>
      <c r="P271" s="220"/>
      <c r="Q271" s="220"/>
      <c r="R271" s="220"/>
      <c r="S271" s="194"/>
      <c r="T271" s="194"/>
      <c r="U271" s="194"/>
      <c r="V271" s="194"/>
      <c r="W271" s="194"/>
      <c r="X271" s="194"/>
      <c r="Y271" s="194"/>
      <c r="Z271" s="194"/>
      <c r="AA271" s="194"/>
      <c r="AB271" s="194"/>
      <c r="AC271" s="194"/>
      <c r="AD271" s="194"/>
      <c r="AE271" s="194"/>
      <c r="AF271" s="194"/>
      <c r="AG271" s="194"/>
      <c r="AH271" s="194"/>
      <c r="AI271" s="194"/>
      <c r="AJ271" s="194"/>
      <c r="AK271" s="194"/>
      <c r="AL271" s="194"/>
      <c r="AM271" s="194"/>
      <c r="AN271" s="194"/>
      <c r="AO271" s="194"/>
      <c r="AP271" s="194"/>
      <c r="AQ271" s="194"/>
    </row>
    <row r="272" spans="4:43" ht="20.25">
      <c r="D272" s="194"/>
      <c r="E272" s="194"/>
      <c r="F272" s="194"/>
      <c r="G272" s="194"/>
      <c r="H272" s="255"/>
      <c r="I272" s="204"/>
      <c r="J272" s="204"/>
      <c r="K272" s="204"/>
      <c r="L272" s="204"/>
      <c r="M272" s="216"/>
      <c r="N272" s="220"/>
      <c r="O272" s="220"/>
      <c r="P272" s="220"/>
      <c r="Q272" s="220"/>
      <c r="R272" s="220"/>
      <c r="S272" s="194"/>
      <c r="T272" s="194"/>
      <c r="U272" s="194"/>
      <c r="V272" s="194"/>
      <c r="W272" s="194"/>
      <c r="X272" s="194"/>
      <c r="Y272" s="194"/>
      <c r="Z272" s="194"/>
      <c r="AA272" s="194"/>
      <c r="AB272" s="194"/>
      <c r="AC272" s="194"/>
      <c r="AD272" s="194"/>
      <c r="AE272" s="194"/>
      <c r="AF272" s="194"/>
      <c r="AG272" s="194"/>
      <c r="AH272" s="194"/>
      <c r="AI272" s="194"/>
      <c r="AJ272" s="194"/>
      <c r="AK272" s="194"/>
      <c r="AL272" s="194"/>
      <c r="AM272" s="194"/>
      <c r="AN272" s="194"/>
      <c r="AO272" s="194"/>
      <c r="AP272" s="194"/>
      <c r="AQ272" s="194"/>
    </row>
    <row r="273" spans="4:43" ht="20.25">
      <c r="D273" s="194"/>
      <c r="E273" s="194"/>
      <c r="F273" s="194"/>
      <c r="G273" s="194"/>
      <c r="H273" s="255"/>
      <c r="I273" s="204"/>
      <c r="J273" s="204"/>
      <c r="K273" s="204"/>
      <c r="L273" s="204"/>
      <c r="M273" s="216"/>
      <c r="N273" s="220"/>
      <c r="O273" s="220"/>
      <c r="P273" s="220"/>
      <c r="Q273" s="220"/>
      <c r="R273" s="220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</row>
    <row r="274" spans="4:43" ht="20.25">
      <c r="D274" s="194"/>
      <c r="E274" s="194"/>
      <c r="F274" s="194"/>
      <c r="G274" s="194"/>
      <c r="H274" s="255"/>
      <c r="I274" s="204"/>
      <c r="J274" s="204"/>
      <c r="K274" s="204"/>
      <c r="L274" s="204"/>
      <c r="M274" s="216"/>
      <c r="N274" s="220"/>
      <c r="O274" s="220"/>
      <c r="P274" s="220"/>
      <c r="Q274" s="220"/>
      <c r="R274" s="220"/>
      <c r="S274" s="194"/>
      <c r="T274" s="194"/>
      <c r="U274" s="194"/>
      <c r="V274" s="194"/>
      <c r="W274" s="194"/>
      <c r="X274" s="194"/>
      <c r="Y274" s="194"/>
      <c r="Z274" s="194"/>
      <c r="AA274" s="194"/>
      <c r="AB274" s="194"/>
      <c r="AC274" s="194"/>
      <c r="AD274" s="194"/>
      <c r="AE274" s="194"/>
      <c r="AF274" s="194"/>
      <c r="AG274" s="194"/>
      <c r="AH274" s="194"/>
      <c r="AI274" s="194"/>
      <c r="AJ274" s="194"/>
      <c r="AK274" s="194"/>
      <c r="AL274" s="194"/>
      <c r="AM274" s="194"/>
      <c r="AN274" s="194"/>
      <c r="AO274" s="194"/>
      <c r="AP274" s="194"/>
      <c r="AQ274" s="194"/>
    </row>
    <row r="275" spans="4:43" ht="20.25">
      <c r="D275" s="194"/>
      <c r="E275" s="194"/>
      <c r="F275" s="194"/>
      <c r="G275" s="194"/>
      <c r="H275" s="255"/>
      <c r="I275" s="204"/>
      <c r="J275" s="204"/>
      <c r="K275" s="204"/>
      <c r="L275" s="204"/>
      <c r="M275" s="216"/>
      <c r="N275" s="220"/>
      <c r="O275" s="220"/>
      <c r="P275" s="220"/>
      <c r="Q275" s="220"/>
      <c r="R275" s="220"/>
      <c r="S275" s="194"/>
      <c r="T275" s="194"/>
      <c r="U275" s="194"/>
      <c r="V275" s="194"/>
      <c r="W275" s="194"/>
      <c r="X275" s="194"/>
      <c r="Y275" s="194"/>
      <c r="Z275" s="194"/>
      <c r="AA275" s="194"/>
      <c r="AB275" s="194"/>
      <c r="AC275" s="194"/>
      <c r="AD275" s="194"/>
      <c r="AE275" s="194"/>
      <c r="AF275" s="194"/>
      <c r="AG275" s="194"/>
      <c r="AH275" s="194"/>
      <c r="AI275" s="194"/>
      <c r="AJ275" s="194"/>
      <c r="AK275" s="194"/>
      <c r="AL275" s="194"/>
      <c r="AM275" s="194"/>
      <c r="AN275" s="194"/>
      <c r="AO275" s="194"/>
      <c r="AP275" s="194"/>
      <c r="AQ275" s="194"/>
    </row>
    <row r="276" spans="4:43" ht="20.25">
      <c r="D276" s="194"/>
      <c r="E276" s="194"/>
      <c r="F276" s="194"/>
      <c r="G276" s="194"/>
      <c r="H276" s="255"/>
      <c r="I276" s="204"/>
      <c r="J276" s="204"/>
      <c r="K276" s="204"/>
      <c r="L276" s="204"/>
      <c r="M276" s="216"/>
      <c r="N276" s="220"/>
      <c r="O276" s="220"/>
      <c r="P276" s="220"/>
      <c r="Q276" s="220"/>
      <c r="R276" s="220"/>
      <c r="S276" s="194"/>
      <c r="T276" s="194"/>
      <c r="U276" s="194"/>
      <c r="V276" s="194"/>
      <c r="W276" s="194"/>
      <c r="X276" s="194"/>
      <c r="Y276" s="194"/>
      <c r="Z276" s="194"/>
      <c r="AA276" s="194"/>
      <c r="AB276" s="194"/>
      <c r="AC276" s="194"/>
      <c r="AD276" s="194"/>
      <c r="AE276" s="194"/>
      <c r="AF276" s="194"/>
      <c r="AG276" s="194"/>
      <c r="AH276" s="194"/>
      <c r="AI276" s="194"/>
      <c r="AJ276" s="194"/>
      <c r="AK276" s="194"/>
      <c r="AL276" s="194"/>
      <c r="AM276" s="194"/>
      <c r="AN276" s="194"/>
      <c r="AO276" s="194"/>
      <c r="AP276" s="194"/>
      <c r="AQ276" s="194"/>
    </row>
    <row r="277" spans="4:43" ht="20.25">
      <c r="D277" s="194"/>
      <c r="E277" s="194"/>
      <c r="F277" s="194"/>
      <c r="G277" s="194"/>
      <c r="H277" s="255"/>
      <c r="I277" s="204"/>
      <c r="J277" s="204"/>
      <c r="K277" s="204"/>
      <c r="L277" s="204"/>
      <c r="M277" s="216"/>
      <c r="N277" s="220"/>
      <c r="O277" s="220"/>
      <c r="P277" s="220"/>
      <c r="Q277" s="220"/>
      <c r="R277" s="220"/>
      <c r="S277" s="194"/>
      <c r="T277" s="194"/>
      <c r="U277" s="194"/>
      <c r="V277" s="194"/>
      <c r="W277" s="194"/>
      <c r="X277" s="194"/>
      <c r="Y277" s="194"/>
      <c r="Z277" s="194"/>
      <c r="AA277" s="194"/>
      <c r="AB277" s="194"/>
      <c r="AC277" s="194"/>
      <c r="AD277" s="194"/>
      <c r="AE277" s="194"/>
      <c r="AF277" s="194"/>
      <c r="AG277" s="194"/>
      <c r="AH277" s="194"/>
      <c r="AI277" s="194"/>
      <c r="AJ277" s="194"/>
      <c r="AK277" s="194"/>
      <c r="AL277" s="194"/>
      <c r="AM277" s="194"/>
      <c r="AN277" s="194"/>
      <c r="AO277" s="194"/>
      <c r="AP277" s="194"/>
      <c r="AQ277" s="194"/>
    </row>
    <row r="278" spans="4:43" ht="20.25">
      <c r="D278" s="194"/>
      <c r="E278" s="194"/>
      <c r="F278" s="194"/>
      <c r="G278" s="194"/>
      <c r="H278" s="255"/>
      <c r="I278" s="204"/>
      <c r="J278" s="204"/>
      <c r="K278" s="204"/>
      <c r="L278" s="204"/>
      <c r="M278" s="216"/>
      <c r="N278" s="220"/>
      <c r="O278" s="220"/>
      <c r="P278" s="220"/>
      <c r="Q278" s="220"/>
      <c r="R278" s="220"/>
      <c r="S278" s="194"/>
      <c r="T278" s="194"/>
      <c r="U278" s="194"/>
      <c r="V278" s="194"/>
      <c r="W278" s="194"/>
      <c r="X278" s="194"/>
      <c r="Y278" s="194"/>
      <c r="Z278" s="194"/>
      <c r="AA278" s="194"/>
      <c r="AB278" s="194"/>
      <c r="AC278" s="194"/>
      <c r="AD278" s="194"/>
      <c r="AE278" s="194"/>
      <c r="AF278" s="194"/>
      <c r="AG278" s="194"/>
      <c r="AH278" s="194"/>
      <c r="AI278" s="194"/>
      <c r="AJ278" s="194"/>
      <c r="AK278" s="194"/>
      <c r="AL278" s="194"/>
      <c r="AM278" s="194"/>
      <c r="AN278" s="194"/>
      <c r="AO278" s="194"/>
      <c r="AP278" s="194"/>
      <c r="AQ278" s="194"/>
    </row>
    <row r="279" spans="4:43" ht="20.25">
      <c r="D279" s="194"/>
      <c r="E279" s="194"/>
      <c r="F279" s="194"/>
      <c r="G279" s="194"/>
      <c r="H279" s="255"/>
      <c r="I279" s="204"/>
      <c r="J279" s="204"/>
      <c r="K279" s="204"/>
      <c r="L279" s="204"/>
      <c r="M279" s="216"/>
      <c r="N279" s="220"/>
      <c r="O279" s="220"/>
      <c r="P279" s="220"/>
      <c r="Q279" s="220"/>
      <c r="R279" s="220"/>
      <c r="S279" s="194"/>
      <c r="T279" s="194"/>
      <c r="U279" s="194"/>
      <c r="V279" s="194"/>
      <c r="W279" s="194"/>
      <c r="X279" s="194"/>
      <c r="Y279" s="194"/>
      <c r="Z279" s="194"/>
      <c r="AA279" s="194"/>
      <c r="AB279" s="194"/>
      <c r="AC279" s="194"/>
      <c r="AD279" s="194"/>
      <c r="AE279" s="194"/>
      <c r="AF279" s="194"/>
      <c r="AG279" s="194"/>
      <c r="AH279" s="194"/>
      <c r="AI279" s="194"/>
      <c r="AJ279" s="194"/>
      <c r="AK279" s="194"/>
      <c r="AL279" s="194"/>
      <c r="AM279" s="194"/>
      <c r="AN279" s="194"/>
      <c r="AO279" s="194"/>
      <c r="AP279" s="194"/>
      <c r="AQ279" s="194"/>
    </row>
    <row r="280" spans="4:43" ht="20.25">
      <c r="D280" s="194"/>
      <c r="E280" s="194"/>
      <c r="F280" s="194"/>
      <c r="G280" s="194"/>
      <c r="H280" s="255"/>
      <c r="I280" s="204"/>
      <c r="J280" s="204"/>
      <c r="K280" s="204"/>
      <c r="L280" s="204"/>
      <c r="M280" s="216"/>
      <c r="N280" s="220"/>
      <c r="O280" s="220"/>
      <c r="P280" s="220"/>
      <c r="Q280" s="220"/>
      <c r="R280" s="220"/>
      <c r="S280" s="194"/>
      <c r="T280" s="194"/>
      <c r="U280" s="194"/>
      <c r="V280" s="194"/>
      <c r="W280" s="194"/>
      <c r="X280" s="194"/>
      <c r="Y280" s="194"/>
      <c r="Z280" s="194"/>
      <c r="AA280" s="194"/>
      <c r="AB280" s="194"/>
      <c r="AC280" s="194"/>
      <c r="AD280" s="194"/>
      <c r="AE280" s="194"/>
      <c r="AF280" s="194"/>
      <c r="AG280" s="194"/>
      <c r="AH280" s="194"/>
      <c r="AI280" s="194"/>
      <c r="AJ280" s="194"/>
      <c r="AK280" s="194"/>
      <c r="AL280" s="194"/>
      <c r="AM280" s="194"/>
      <c r="AN280" s="194"/>
      <c r="AO280" s="194"/>
      <c r="AP280" s="194"/>
      <c r="AQ280" s="194"/>
    </row>
    <row r="281" spans="4:43" ht="20.25">
      <c r="D281" s="194"/>
      <c r="E281" s="194"/>
      <c r="F281" s="194"/>
      <c r="G281" s="194"/>
      <c r="H281" s="255"/>
      <c r="I281" s="204"/>
      <c r="J281" s="204"/>
      <c r="K281" s="204"/>
      <c r="L281" s="204"/>
      <c r="M281" s="216"/>
      <c r="N281" s="220"/>
      <c r="O281" s="220"/>
      <c r="P281" s="220"/>
      <c r="Q281" s="220"/>
      <c r="R281" s="220"/>
      <c r="S281" s="194"/>
      <c r="T281" s="194"/>
      <c r="U281" s="194"/>
      <c r="V281" s="194"/>
      <c r="W281" s="194"/>
      <c r="X281" s="194"/>
      <c r="Y281" s="194"/>
      <c r="Z281" s="194"/>
      <c r="AA281" s="194"/>
      <c r="AB281" s="194"/>
      <c r="AC281" s="194"/>
      <c r="AD281" s="194"/>
      <c r="AE281" s="194"/>
      <c r="AF281" s="194"/>
      <c r="AG281" s="194"/>
      <c r="AH281" s="194"/>
      <c r="AI281" s="194"/>
      <c r="AJ281" s="194"/>
      <c r="AK281" s="194"/>
      <c r="AL281" s="194"/>
      <c r="AM281" s="194"/>
      <c r="AN281" s="194"/>
      <c r="AO281" s="194"/>
      <c r="AP281" s="194"/>
      <c r="AQ281" s="194"/>
    </row>
    <row r="282" spans="4:43" ht="20.25">
      <c r="D282" s="194"/>
      <c r="E282" s="194"/>
      <c r="F282" s="194"/>
      <c r="G282" s="194"/>
      <c r="H282" s="255"/>
      <c r="I282" s="204"/>
      <c r="J282" s="204"/>
      <c r="K282" s="204"/>
      <c r="L282" s="204"/>
      <c r="M282" s="216"/>
      <c r="N282" s="220"/>
      <c r="O282" s="220"/>
      <c r="P282" s="220"/>
      <c r="Q282" s="220"/>
      <c r="R282" s="220"/>
      <c r="S282" s="194"/>
      <c r="T282" s="194"/>
      <c r="U282" s="194"/>
      <c r="V282" s="194"/>
      <c r="W282" s="194"/>
      <c r="X282" s="194"/>
      <c r="Y282" s="194"/>
      <c r="Z282" s="194"/>
      <c r="AA282" s="194"/>
      <c r="AB282" s="194"/>
      <c r="AC282" s="194"/>
      <c r="AD282" s="194"/>
      <c r="AE282" s="194"/>
      <c r="AF282" s="194"/>
      <c r="AG282" s="194"/>
      <c r="AH282" s="194"/>
      <c r="AI282" s="194"/>
      <c r="AJ282" s="194"/>
      <c r="AK282" s="194"/>
      <c r="AL282" s="194"/>
      <c r="AM282" s="194"/>
      <c r="AN282" s="194"/>
      <c r="AO282" s="194"/>
      <c r="AP282" s="194"/>
      <c r="AQ282" s="194"/>
    </row>
    <row r="283" spans="4:43" ht="20.25">
      <c r="D283" s="194"/>
      <c r="E283" s="194"/>
      <c r="F283" s="194"/>
      <c r="G283" s="194"/>
      <c r="H283" s="255"/>
      <c r="I283" s="204"/>
      <c r="J283" s="204"/>
      <c r="K283" s="204"/>
      <c r="L283" s="204"/>
      <c r="M283" s="216"/>
      <c r="N283" s="220"/>
      <c r="O283" s="220"/>
      <c r="P283" s="220"/>
      <c r="Q283" s="220"/>
      <c r="R283" s="220"/>
      <c r="S283" s="194"/>
      <c r="T283" s="194"/>
      <c r="U283" s="194"/>
      <c r="V283" s="194"/>
      <c r="W283" s="194"/>
      <c r="X283" s="194"/>
      <c r="Y283" s="194"/>
      <c r="Z283" s="194"/>
      <c r="AA283" s="194"/>
      <c r="AB283" s="194"/>
      <c r="AC283" s="194"/>
      <c r="AD283" s="194"/>
      <c r="AE283" s="194"/>
      <c r="AF283" s="194"/>
      <c r="AG283" s="194"/>
      <c r="AH283" s="194"/>
      <c r="AI283" s="194"/>
      <c r="AJ283" s="194"/>
      <c r="AK283" s="194"/>
      <c r="AL283" s="194"/>
      <c r="AM283" s="194"/>
      <c r="AN283" s="194"/>
      <c r="AO283" s="194"/>
      <c r="AP283" s="194"/>
      <c r="AQ283" s="194"/>
    </row>
    <row r="284" spans="4:43" ht="20.25">
      <c r="D284" s="194"/>
      <c r="E284" s="194"/>
      <c r="F284" s="194"/>
      <c r="G284" s="194"/>
      <c r="H284" s="255"/>
      <c r="I284" s="204"/>
      <c r="J284" s="204"/>
      <c r="K284" s="204"/>
      <c r="L284" s="204"/>
      <c r="M284" s="216"/>
      <c r="N284" s="220"/>
      <c r="O284" s="220"/>
      <c r="P284" s="220"/>
      <c r="Q284" s="220"/>
      <c r="R284" s="220"/>
      <c r="S284" s="194"/>
      <c r="T284" s="194"/>
      <c r="U284" s="194"/>
      <c r="V284" s="194"/>
      <c r="W284" s="194"/>
      <c r="X284" s="194"/>
      <c r="Y284" s="194"/>
      <c r="Z284" s="194"/>
      <c r="AA284" s="194"/>
      <c r="AB284" s="194"/>
      <c r="AC284" s="194"/>
      <c r="AD284" s="194"/>
      <c r="AE284" s="194"/>
      <c r="AF284" s="194"/>
      <c r="AG284" s="194"/>
      <c r="AH284" s="194"/>
      <c r="AI284" s="194"/>
      <c r="AJ284" s="194"/>
      <c r="AK284" s="194"/>
      <c r="AL284" s="194"/>
      <c r="AM284" s="194"/>
      <c r="AN284" s="194"/>
      <c r="AO284" s="194"/>
      <c r="AP284" s="194"/>
      <c r="AQ284" s="194"/>
    </row>
    <row r="285" spans="4:43" ht="20.25">
      <c r="D285" s="194"/>
      <c r="E285" s="194"/>
      <c r="F285" s="194"/>
      <c r="G285" s="194"/>
      <c r="H285" s="255"/>
      <c r="I285" s="204"/>
      <c r="J285" s="204"/>
      <c r="K285" s="204"/>
      <c r="L285" s="204"/>
      <c r="M285" s="216"/>
      <c r="N285" s="220"/>
      <c r="O285" s="220"/>
      <c r="P285" s="220"/>
      <c r="Q285" s="220"/>
      <c r="R285" s="220"/>
      <c r="S285" s="194"/>
      <c r="T285" s="194"/>
      <c r="U285" s="194"/>
      <c r="V285" s="194"/>
      <c r="W285" s="194"/>
      <c r="X285" s="194"/>
      <c r="Y285" s="194"/>
      <c r="Z285" s="194"/>
      <c r="AA285" s="194"/>
      <c r="AB285" s="194"/>
      <c r="AC285" s="194"/>
      <c r="AD285" s="194"/>
      <c r="AE285" s="194"/>
      <c r="AF285" s="194"/>
      <c r="AG285" s="194"/>
      <c r="AH285" s="194"/>
      <c r="AI285" s="194"/>
      <c r="AJ285" s="194"/>
      <c r="AK285" s="194"/>
      <c r="AL285" s="194"/>
      <c r="AM285" s="194"/>
      <c r="AN285" s="194"/>
      <c r="AO285" s="194"/>
      <c r="AP285" s="194"/>
      <c r="AQ285" s="194"/>
    </row>
    <row r="286" spans="4:43" ht="20.25">
      <c r="D286" s="194"/>
      <c r="E286" s="194"/>
      <c r="F286" s="194"/>
      <c r="G286" s="194"/>
      <c r="H286" s="255"/>
      <c r="I286" s="204"/>
      <c r="J286" s="204"/>
      <c r="K286" s="204"/>
      <c r="L286" s="204"/>
      <c r="M286" s="216"/>
      <c r="N286" s="220"/>
      <c r="O286" s="220"/>
      <c r="P286" s="220"/>
      <c r="Q286" s="220"/>
      <c r="R286" s="220"/>
      <c r="S286" s="194"/>
      <c r="T286" s="194"/>
      <c r="U286" s="194"/>
      <c r="V286" s="194"/>
      <c r="W286" s="194"/>
      <c r="X286" s="194"/>
      <c r="Y286" s="194"/>
      <c r="Z286" s="194"/>
      <c r="AA286" s="194"/>
      <c r="AB286" s="194"/>
      <c r="AC286" s="194"/>
      <c r="AD286" s="194"/>
      <c r="AE286" s="194"/>
      <c r="AF286" s="194"/>
      <c r="AG286" s="194"/>
      <c r="AH286" s="194"/>
      <c r="AI286" s="194"/>
      <c r="AJ286" s="194"/>
      <c r="AK286" s="194"/>
      <c r="AL286" s="194"/>
      <c r="AM286" s="194"/>
      <c r="AN286" s="194"/>
      <c r="AO286" s="194"/>
      <c r="AP286" s="194"/>
      <c r="AQ286" s="194"/>
    </row>
    <row r="287" spans="4:43" ht="20.25">
      <c r="D287" s="194"/>
      <c r="E287" s="194"/>
      <c r="F287" s="194"/>
      <c r="G287" s="194"/>
      <c r="H287" s="255"/>
      <c r="I287" s="204"/>
      <c r="J287" s="204"/>
      <c r="K287" s="204"/>
      <c r="L287" s="204"/>
      <c r="M287" s="216"/>
      <c r="N287" s="220"/>
      <c r="O287" s="220"/>
      <c r="P287" s="220"/>
      <c r="Q287" s="220"/>
      <c r="R287" s="220"/>
      <c r="S287" s="194"/>
      <c r="T287" s="194"/>
      <c r="U287" s="194"/>
      <c r="V287" s="194"/>
      <c r="W287" s="194"/>
      <c r="X287" s="194"/>
      <c r="Y287" s="194"/>
      <c r="Z287" s="194"/>
      <c r="AA287" s="194"/>
      <c r="AB287" s="194"/>
      <c r="AC287" s="194"/>
      <c r="AD287" s="194"/>
      <c r="AE287" s="194"/>
      <c r="AF287" s="194"/>
      <c r="AG287" s="194"/>
      <c r="AH287" s="194"/>
      <c r="AI287" s="194"/>
      <c r="AJ287" s="194"/>
      <c r="AK287" s="194"/>
      <c r="AL287" s="194"/>
      <c r="AM287" s="194"/>
      <c r="AN287" s="194"/>
      <c r="AO287" s="194"/>
      <c r="AP287" s="194"/>
      <c r="AQ287" s="194"/>
    </row>
    <row r="288" spans="4:43" ht="20.25">
      <c r="D288" s="194"/>
      <c r="E288" s="194"/>
      <c r="F288" s="194"/>
      <c r="G288" s="194"/>
      <c r="H288" s="255"/>
      <c r="I288" s="204"/>
      <c r="J288" s="204"/>
      <c r="K288" s="204"/>
      <c r="L288" s="204"/>
      <c r="M288" s="216"/>
      <c r="N288" s="220"/>
      <c r="O288" s="220"/>
      <c r="P288" s="220"/>
      <c r="Q288" s="220"/>
      <c r="R288" s="220"/>
      <c r="S288" s="194"/>
      <c r="T288" s="194"/>
      <c r="U288" s="194"/>
      <c r="V288" s="194"/>
      <c r="W288" s="194"/>
      <c r="X288" s="194"/>
      <c r="Y288" s="194"/>
      <c r="Z288" s="194"/>
      <c r="AA288" s="194"/>
      <c r="AB288" s="194"/>
      <c r="AC288" s="194"/>
      <c r="AD288" s="194"/>
      <c r="AE288" s="194"/>
      <c r="AF288" s="194"/>
      <c r="AG288" s="194"/>
      <c r="AH288" s="194"/>
      <c r="AI288" s="194"/>
      <c r="AJ288" s="194"/>
      <c r="AK288" s="194"/>
      <c r="AL288" s="194"/>
      <c r="AM288" s="194"/>
      <c r="AN288" s="194"/>
      <c r="AO288" s="194"/>
      <c r="AP288" s="194"/>
      <c r="AQ288" s="194"/>
    </row>
    <row r="289" spans="4:43" ht="20.25">
      <c r="D289" s="194"/>
      <c r="E289" s="194"/>
      <c r="F289" s="194"/>
      <c r="G289" s="194"/>
      <c r="H289" s="255"/>
      <c r="I289" s="204"/>
      <c r="J289" s="204"/>
      <c r="K289" s="204"/>
      <c r="L289" s="204"/>
      <c r="M289" s="216"/>
      <c r="N289" s="220"/>
      <c r="O289" s="220"/>
      <c r="P289" s="220"/>
      <c r="Q289" s="220"/>
      <c r="R289" s="220"/>
      <c r="S289" s="194"/>
      <c r="T289" s="194"/>
      <c r="U289" s="194"/>
      <c r="V289" s="194"/>
      <c r="W289" s="194"/>
      <c r="X289" s="194"/>
      <c r="Y289" s="194"/>
      <c r="Z289" s="194"/>
      <c r="AA289" s="194"/>
      <c r="AB289" s="194"/>
      <c r="AC289" s="194"/>
      <c r="AD289" s="194"/>
      <c r="AE289" s="194"/>
      <c r="AF289" s="194"/>
      <c r="AG289" s="194"/>
      <c r="AH289" s="194"/>
      <c r="AI289" s="194"/>
      <c r="AJ289" s="194"/>
      <c r="AK289" s="194"/>
      <c r="AL289" s="194"/>
      <c r="AM289" s="194"/>
      <c r="AN289" s="194"/>
      <c r="AO289" s="194"/>
      <c r="AP289" s="194"/>
      <c r="AQ289" s="194"/>
    </row>
    <row r="290" spans="4:43" ht="20.25">
      <c r="D290" s="194"/>
      <c r="E290" s="194"/>
      <c r="F290" s="194"/>
      <c r="G290" s="194"/>
      <c r="H290" s="255"/>
      <c r="I290" s="204"/>
      <c r="J290" s="204"/>
      <c r="K290" s="204"/>
      <c r="L290" s="204"/>
      <c r="M290" s="216"/>
      <c r="N290" s="220"/>
      <c r="O290" s="220"/>
      <c r="P290" s="220"/>
      <c r="Q290" s="220"/>
      <c r="R290" s="220"/>
      <c r="S290" s="194"/>
      <c r="T290" s="194"/>
      <c r="U290" s="194"/>
      <c r="V290" s="194"/>
      <c r="W290" s="194"/>
      <c r="X290" s="194"/>
      <c r="Y290" s="194"/>
      <c r="Z290" s="194"/>
      <c r="AA290" s="194"/>
      <c r="AB290" s="194"/>
      <c r="AC290" s="194"/>
      <c r="AD290" s="194"/>
      <c r="AE290" s="194"/>
      <c r="AF290" s="194"/>
      <c r="AG290" s="194"/>
      <c r="AH290" s="194"/>
      <c r="AI290" s="194"/>
      <c r="AJ290" s="194"/>
      <c r="AK290" s="194"/>
      <c r="AL290" s="194"/>
      <c r="AM290" s="194"/>
      <c r="AN290" s="194"/>
      <c r="AO290" s="194"/>
      <c r="AP290" s="194"/>
      <c r="AQ290" s="194"/>
    </row>
    <row r="291" spans="4:43" ht="20.25">
      <c r="D291" s="194"/>
      <c r="E291" s="194"/>
      <c r="F291" s="194"/>
      <c r="G291" s="194"/>
      <c r="H291" s="255"/>
      <c r="I291" s="204"/>
      <c r="J291" s="204"/>
      <c r="K291" s="204"/>
      <c r="L291" s="204"/>
      <c r="M291" s="216"/>
      <c r="N291" s="220"/>
      <c r="O291" s="220"/>
      <c r="P291" s="220"/>
      <c r="Q291" s="220"/>
      <c r="R291" s="220"/>
      <c r="S291" s="194"/>
      <c r="T291" s="194"/>
      <c r="U291" s="194"/>
      <c r="V291" s="194"/>
      <c r="W291" s="194"/>
      <c r="X291" s="194"/>
      <c r="Y291" s="194"/>
      <c r="Z291" s="194"/>
      <c r="AA291" s="194"/>
      <c r="AB291" s="194"/>
      <c r="AC291" s="194"/>
      <c r="AD291" s="194"/>
      <c r="AE291" s="194"/>
      <c r="AF291" s="194"/>
      <c r="AG291" s="194"/>
      <c r="AH291" s="194"/>
      <c r="AI291" s="194"/>
      <c r="AJ291" s="194"/>
      <c r="AK291" s="194"/>
      <c r="AL291" s="194"/>
      <c r="AM291" s="194"/>
      <c r="AN291" s="194"/>
      <c r="AO291" s="194"/>
      <c r="AP291" s="194"/>
      <c r="AQ291" s="194"/>
    </row>
    <row r="292" spans="4:43" ht="20.25">
      <c r="D292" s="194"/>
      <c r="E292" s="194"/>
      <c r="F292" s="194"/>
      <c r="G292" s="194"/>
      <c r="H292" s="255"/>
      <c r="I292" s="204"/>
      <c r="J292" s="204"/>
      <c r="K292" s="204"/>
      <c r="L292" s="204"/>
      <c r="M292" s="216"/>
      <c r="N292" s="220"/>
      <c r="O292" s="220"/>
      <c r="P292" s="220"/>
      <c r="Q292" s="220"/>
      <c r="R292" s="220"/>
      <c r="S292" s="194"/>
      <c r="T292" s="194"/>
      <c r="U292" s="194"/>
      <c r="V292" s="194"/>
      <c r="W292" s="194"/>
      <c r="X292" s="194"/>
      <c r="Y292" s="194"/>
      <c r="Z292" s="194"/>
      <c r="AA292" s="194"/>
      <c r="AB292" s="194"/>
      <c r="AC292" s="194"/>
      <c r="AD292" s="194"/>
      <c r="AE292" s="194"/>
      <c r="AF292" s="194"/>
      <c r="AG292" s="194"/>
      <c r="AH292" s="194"/>
      <c r="AI292" s="194"/>
      <c r="AJ292" s="194"/>
      <c r="AK292" s="194"/>
      <c r="AL292" s="194"/>
      <c r="AM292" s="194"/>
      <c r="AN292" s="194"/>
      <c r="AO292" s="194"/>
      <c r="AP292" s="194"/>
      <c r="AQ292" s="194"/>
    </row>
    <row r="293" spans="4:43" ht="20.25">
      <c r="D293" s="194"/>
      <c r="E293" s="194"/>
      <c r="F293" s="194"/>
      <c r="G293" s="194"/>
      <c r="H293" s="255"/>
      <c r="I293" s="204"/>
      <c r="J293" s="204"/>
      <c r="K293" s="204"/>
      <c r="L293" s="204"/>
      <c r="M293" s="216"/>
      <c r="N293" s="220"/>
      <c r="O293" s="220"/>
      <c r="P293" s="220"/>
      <c r="Q293" s="220"/>
      <c r="R293" s="220"/>
      <c r="S293" s="194"/>
      <c r="T293" s="194"/>
      <c r="U293" s="194"/>
      <c r="V293" s="194"/>
      <c r="W293" s="194"/>
      <c r="X293" s="194"/>
      <c r="Y293" s="194"/>
      <c r="Z293" s="194"/>
      <c r="AA293" s="194"/>
      <c r="AB293" s="194"/>
      <c r="AC293" s="194"/>
      <c r="AD293" s="194"/>
      <c r="AE293" s="194"/>
      <c r="AF293" s="194"/>
      <c r="AG293" s="194"/>
      <c r="AH293" s="194"/>
      <c r="AI293" s="194"/>
      <c r="AJ293" s="194"/>
      <c r="AK293" s="194"/>
      <c r="AL293" s="194"/>
      <c r="AM293" s="194"/>
      <c r="AN293" s="194"/>
      <c r="AO293" s="194"/>
      <c r="AP293" s="194"/>
      <c r="AQ293" s="194"/>
    </row>
    <row r="294" spans="4:43" ht="20.25">
      <c r="D294" s="194"/>
      <c r="E294" s="194"/>
      <c r="F294" s="194"/>
      <c r="G294" s="194"/>
      <c r="H294" s="255"/>
      <c r="I294" s="204"/>
      <c r="J294" s="204"/>
      <c r="K294" s="204"/>
      <c r="L294" s="204"/>
      <c r="M294" s="216"/>
      <c r="N294" s="220"/>
      <c r="O294" s="220"/>
      <c r="P294" s="220"/>
      <c r="Q294" s="220"/>
      <c r="R294" s="220"/>
      <c r="S294" s="194"/>
      <c r="T294" s="194"/>
      <c r="U294" s="194"/>
      <c r="V294" s="194"/>
      <c r="W294" s="194"/>
      <c r="X294" s="194"/>
      <c r="Y294" s="194"/>
      <c r="Z294" s="194"/>
      <c r="AA294" s="194"/>
      <c r="AB294" s="194"/>
      <c r="AC294" s="194"/>
      <c r="AD294" s="194"/>
      <c r="AE294" s="194"/>
      <c r="AF294" s="194"/>
      <c r="AG294" s="194"/>
      <c r="AH294" s="194"/>
      <c r="AI294" s="194"/>
      <c r="AJ294" s="194"/>
      <c r="AK294" s="194"/>
      <c r="AL294" s="194"/>
      <c r="AM294" s="194"/>
      <c r="AN294" s="194"/>
      <c r="AO294" s="194"/>
      <c r="AP294" s="194"/>
      <c r="AQ294" s="194"/>
    </row>
    <row r="295" spans="4:43" ht="20.25">
      <c r="D295" s="194"/>
      <c r="E295" s="194"/>
      <c r="F295" s="194"/>
      <c r="G295" s="194"/>
      <c r="H295" s="255"/>
      <c r="I295" s="204"/>
      <c r="J295" s="204"/>
      <c r="K295" s="204"/>
      <c r="L295" s="204"/>
      <c r="M295" s="216"/>
      <c r="N295" s="220"/>
      <c r="O295" s="220"/>
      <c r="P295" s="220"/>
      <c r="Q295" s="220"/>
      <c r="R295" s="220"/>
      <c r="S295" s="194"/>
      <c r="T295" s="194"/>
      <c r="U295" s="194"/>
      <c r="V295" s="194"/>
      <c r="W295" s="194"/>
      <c r="X295" s="194"/>
      <c r="Y295" s="194"/>
      <c r="Z295" s="194"/>
      <c r="AA295" s="194"/>
      <c r="AB295" s="194"/>
      <c r="AC295" s="194"/>
      <c r="AD295" s="194"/>
      <c r="AE295" s="194"/>
      <c r="AF295" s="194"/>
      <c r="AG295" s="194"/>
      <c r="AH295" s="194"/>
      <c r="AI295" s="194"/>
      <c r="AJ295" s="194"/>
      <c r="AK295" s="194"/>
      <c r="AL295" s="194"/>
      <c r="AM295" s="194"/>
      <c r="AN295" s="194"/>
      <c r="AO295" s="194"/>
      <c r="AP295" s="194"/>
      <c r="AQ295" s="194"/>
    </row>
    <row r="296" spans="4:43" ht="20.25">
      <c r="D296" s="194"/>
      <c r="E296" s="194"/>
      <c r="F296" s="194"/>
      <c r="G296" s="194"/>
      <c r="H296" s="255"/>
      <c r="I296" s="204"/>
      <c r="J296" s="204"/>
      <c r="K296" s="204"/>
      <c r="L296" s="204"/>
      <c r="M296" s="216"/>
      <c r="N296" s="220"/>
      <c r="O296" s="220"/>
      <c r="P296" s="220"/>
      <c r="Q296" s="220"/>
      <c r="R296" s="220"/>
      <c r="S296" s="194"/>
      <c r="T296" s="194"/>
      <c r="U296" s="194"/>
      <c r="V296" s="194"/>
      <c r="W296" s="194"/>
      <c r="X296" s="194"/>
      <c r="Y296" s="194"/>
      <c r="Z296" s="194"/>
      <c r="AA296" s="194"/>
      <c r="AB296" s="194"/>
      <c r="AC296" s="194"/>
      <c r="AD296" s="194"/>
      <c r="AE296" s="194"/>
      <c r="AF296" s="194"/>
      <c r="AG296" s="194"/>
      <c r="AH296" s="194"/>
      <c r="AI296" s="194"/>
      <c r="AJ296" s="194"/>
      <c r="AK296" s="194"/>
      <c r="AL296" s="194"/>
      <c r="AM296" s="194"/>
      <c r="AN296" s="194"/>
      <c r="AO296" s="194"/>
      <c r="AP296" s="194"/>
      <c r="AQ296" s="194"/>
    </row>
    <row r="297" spans="4:43" ht="20.25">
      <c r="D297" s="194"/>
      <c r="E297" s="194"/>
      <c r="F297" s="194"/>
      <c r="G297" s="194"/>
      <c r="H297" s="255"/>
      <c r="I297" s="204"/>
      <c r="J297" s="204"/>
      <c r="K297" s="204"/>
      <c r="L297" s="204"/>
      <c r="M297" s="216"/>
      <c r="N297" s="220"/>
      <c r="O297" s="220"/>
      <c r="P297" s="220"/>
      <c r="Q297" s="220"/>
      <c r="R297" s="220"/>
      <c r="S297" s="194"/>
      <c r="T297" s="194"/>
      <c r="U297" s="194"/>
      <c r="V297" s="194"/>
      <c r="W297" s="194"/>
      <c r="X297" s="194"/>
      <c r="Y297" s="194"/>
      <c r="Z297" s="194"/>
      <c r="AA297" s="194"/>
      <c r="AB297" s="194"/>
      <c r="AC297" s="194"/>
      <c r="AD297" s="194"/>
      <c r="AE297" s="194"/>
      <c r="AF297" s="194"/>
      <c r="AG297" s="194"/>
      <c r="AH297" s="194"/>
      <c r="AI297" s="194"/>
      <c r="AJ297" s="194"/>
      <c r="AK297" s="194"/>
      <c r="AL297" s="194"/>
      <c r="AM297" s="194"/>
      <c r="AN297" s="194"/>
      <c r="AO297" s="194"/>
      <c r="AP297" s="194"/>
      <c r="AQ297" s="194"/>
    </row>
    <row r="298" spans="4:43" ht="20.25">
      <c r="D298" s="194"/>
      <c r="E298" s="194"/>
      <c r="F298" s="194"/>
      <c r="G298" s="194"/>
      <c r="H298" s="255"/>
      <c r="I298" s="204"/>
      <c r="J298" s="204"/>
      <c r="K298" s="204"/>
      <c r="L298" s="204"/>
      <c r="M298" s="216"/>
      <c r="N298" s="220"/>
      <c r="O298" s="220"/>
      <c r="P298" s="220"/>
      <c r="Q298" s="220"/>
      <c r="R298" s="220"/>
      <c r="S298" s="194"/>
      <c r="T298" s="194"/>
      <c r="U298" s="194"/>
      <c r="V298" s="194"/>
      <c r="W298" s="194"/>
      <c r="X298" s="194"/>
      <c r="Y298" s="194"/>
      <c r="Z298" s="194"/>
      <c r="AA298" s="194"/>
      <c r="AB298" s="194"/>
      <c r="AC298" s="194"/>
      <c r="AD298" s="194"/>
      <c r="AE298" s="194"/>
      <c r="AF298" s="194"/>
      <c r="AG298" s="194"/>
      <c r="AH298" s="194"/>
      <c r="AI298" s="194"/>
      <c r="AJ298" s="194"/>
      <c r="AK298" s="194"/>
      <c r="AL298" s="194"/>
      <c r="AM298" s="194"/>
      <c r="AN298" s="194"/>
      <c r="AO298" s="194"/>
      <c r="AP298" s="194"/>
      <c r="AQ298" s="194"/>
    </row>
    <row r="299" spans="4:43" ht="20.25">
      <c r="D299" s="194"/>
      <c r="E299" s="194"/>
      <c r="F299" s="194"/>
      <c r="G299" s="194"/>
      <c r="H299" s="255"/>
      <c r="I299" s="204"/>
      <c r="J299" s="204"/>
      <c r="K299" s="204"/>
      <c r="L299" s="204"/>
      <c r="M299" s="216"/>
      <c r="N299" s="220"/>
      <c r="O299" s="220"/>
      <c r="P299" s="220"/>
      <c r="Q299" s="220"/>
      <c r="R299" s="220"/>
      <c r="S299" s="194"/>
      <c r="T299" s="194"/>
      <c r="U299" s="194"/>
      <c r="V299" s="194"/>
      <c r="W299" s="194"/>
      <c r="X299" s="194"/>
      <c r="Y299" s="194"/>
      <c r="Z299" s="194"/>
      <c r="AA299" s="194"/>
      <c r="AB299" s="194"/>
      <c r="AC299" s="194"/>
      <c r="AD299" s="194"/>
      <c r="AE299" s="194"/>
      <c r="AF299" s="194"/>
      <c r="AG299" s="194"/>
      <c r="AH299" s="194"/>
      <c r="AI299" s="194"/>
      <c r="AJ299" s="194"/>
      <c r="AK299" s="194"/>
      <c r="AL299" s="194"/>
      <c r="AM299" s="194"/>
      <c r="AN299" s="194"/>
      <c r="AO299" s="194"/>
      <c r="AP299" s="194"/>
      <c r="AQ299" s="194"/>
    </row>
    <row r="300" spans="4:43" ht="20.25">
      <c r="D300" s="194"/>
      <c r="E300" s="194"/>
      <c r="F300" s="194"/>
      <c r="G300" s="194"/>
      <c r="H300" s="255"/>
      <c r="I300" s="204"/>
      <c r="J300" s="204"/>
      <c r="K300" s="204"/>
      <c r="L300" s="204"/>
      <c r="M300" s="216"/>
      <c r="N300" s="220"/>
      <c r="O300" s="220"/>
      <c r="P300" s="220"/>
      <c r="Q300" s="220"/>
      <c r="R300" s="220"/>
      <c r="S300" s="194"/>
      <c r="T300" s="194"/>
      <c r="U300" s="194"/>
      <c r="V300" s="194"/>
      <c r="W300" s="194"/>
      <c r="X300" s="194"/>
      <c r="Y300" s="194"/>
      <c r="Z300" s="194"/>
      <c r="AA300" s="194"/>
      <c r="AB300" s="194"/>
      <c r="AC300" s="194"/>
      <c r="AD300" s="194"/>
      <c r="AE300" s="194"/>
      <c r="AF300" s="194"/>
      <c r="AG300" s="194"/>
      <c r="AH300" s="194"/>
      <c r="AI300" s="194"/>
      <c r="AJ300" s="194"/>
      <c r="AK300" s="194"/>
      <c r="AL300" s="194"/>
      <c r="AM300" s="194"/>
      <c r="AN300" s="194"/>
      <c r="AO300" s="194"/>
      <c r="AP300" s="194"/>
      <c r="AQ300" s="194"/>
    </row>
    <row r="301" spans="4:43" ht="20.25">
      <c r="D301" s="194"/>
      <c r="E301" s="194"/>
      <c r="F301" s="194"/>
      <c r="G301" s="194"/>
      <c r="H301" s="255"/>
      <c r="I301" s="204"/>
      <c r="J301" s="204"/>
      <c r="K301" s="204"/>
      <c r="L301" s="204"/>
      <c r="M301" s="216"/>
      <c r="N301" s="220"/>
      <c r="O301" s="220"/>
      <c r="P301" s="220"/>
      <c r="Q301" s="220"/>
      <c r="R301" s="220"/>
      <c r="S301" s="194"/>
      <c r="T301" s="194"/>
      <c r="U301" s="194"/>
      <c r="V301" s="194"/>
      <c r="W301" s="194"/>
      <c r="X301" s="194"/>
      <c r="Y301" s="194"/>
      <c r="Z301" s="194"/>
      <c r="AA301" s="194"/>
      <c r="AB301" s="194"/>
      <c r="AC301" s="194"/>
      <c r="AD301" s="194"/>
      <c r="AE301" s="194"/>
      <c r="AF301" s="194"/>
      <c r="AG301" s="194"/>
      <c r="AH301" s="194"/>
      <c r="AI301" s="194"/>
      <c r="AJ301" s="194"/>
      <c r="AK301" s="194"/>
      <c r="AL301" s="194"/>
      <c r="AM301" s="194"/>
      <c r="AN301" s="194"/>
      <c r="AO301" s="194"/>
      <c r="AP301" s="194"/>
      <c r="AQ301" s="194"/>
    </row>
    <row r="302" spans="4:43" ht="20.25">
      <c r="D302" s="194"/>
      <c r="E302" s="194"/>
      <c r="F302" s="194"/>
      <c r="G302" s="194"/>
      <c r="H302" s="255"/>
      <c r="I302" s="204"/>
      <c r="J302" s="204"/>
      <c r="K302" s="204"/>
      <c r="L302" s="204"/>
      <c r="M302" s="216"/>
      <c r="N302" s="220"/>
      <c r="O302" s="220"/>
      <c r="P302" s="220"/>
      <c r="Q302" s="220"/>
      <c r="R302" s="220"/>
      <c r="S302" s="194"/>
      <c r="T302" s="194"/>
      <c r="U302" s="194"/>
      <c r="V302" s="194"/>
      <c r="W302" s="194"/>
      <c r="X302" s="194"/>
      <c r="Y302" s="194"/>
      <c r="Z302" s="194"/>
      <c r="AA302" s="194"/>
      <c r="AB302" s="194"/>
      <c r="AC302" s="194"/>
      <c r="AD302" s="194"/>
      <c r="AE302" s="194"/>
      <c r="AF302" s="194"/>
      <c r="AG302" s="194"/>
      <c r="AH302" s="194"/>
      <c r="AI302" s="194"/>
      <c r="AJ302" s="194"/>
      <c r="AK302" s="194"/>
      <c r="AL302" s="194"/>
      <c r="AM302" s="194"/>
      <c r="AN302" s="194"/>
      <c r="AO302" s="194"/>
      <c r="AP302" s="194"/>
      <c r="AQ302" s="194"/>
    </row>
    <row r="303" spans="4:43" ht="20.25">
      <c r="D303" s="194"/>
      <c r="E303" s="194"/>
      <c r="F303" s="194"/>
      <c r="G303" s="194"/>
      <c r="H303" s="255"/>
      <c r="I303" s="204"/>
      <c r="J303" s="204"/>
      <c r="K303" s="204"/>
      <c r="L303" s="204"/>
      <c r="M303" s="216"/>
      <c r="N303" s="220"/>
      <c r="O303" s="220"/>
      <c r="P303" s="220"/>
      <c r="Q303" s="220"/>
      <c r="R303" s="220"/>
      <c r="S303" s="194"/>
      <c r="T303" s="194"/>
      <c r="U303" s="194"/>
      <c r="V303" s="194"/>
      <c r="W303" s="194"/>
      <c r="X303" s="194"/>
      <c r="Y303" s="194"/>
      <c r="Z303" s="194"/>
      <c r="AA303" s="194"/>
      <c r="AB303" s="194"/>
      <c r="AC303" s="194"/>
      <c r="AD303" s="194"/>
      <c r="AE303" s="194"/>
      <c r="AF303" s="194"/>
      <c r="AG303" s="194"/>
      <c r="AH303" s="194"/>
      <c r="AI303" s="194"/>
      <c r="AJ303" s="194"/>
      <c r="AK303" s="194"/>
      <c r="AL303" s="194"/>
      <c r="AM303" s="194"/>
      <c r="AN303" s="194"/>
      <c r="AO303" s="194"/>
      <c r="AP303" s="194"/>
      <c r="AQ303" s="194"/>
    </row>
    <row r="304" spans="4:43" ht="20.25">
      <c r="D304" s="194"/>
      <c r="E304" s="194"/>
      <c r="F304" s="194"/>
      <c r="G304" s="194"/>
      <c r="H304" s="255"/>
      <c r="I304" s="204"/>
      <c r="J304" s="204"/>
      <c r="K304" s="204"/>
      <c r="L304" s="204"/>
      <c r="M304" s="216"/>
      <c r="N304" s="220"/>
      <c r="O304" s="220"/>
      <c r="P304" s="220"/>
      <c r="Q304" s="220"/>
      <c r="R304" s="220"/>
      <c r="S304" s="194"/>
      <c r="T304" s="194"/>
      <c r="U304" s="194"/>
      <c r="V304" s="194"/>
      <c r="W304" s="194"/>
      <c r="X304" s="194"/>
      <c r="Y304" s="194"/>
      <c r="Z304" s="194"/>
      <c r="AA304" s="194"/>
      <c r="AB304" s="194"/>
      <c r="AC304" s="194"/>
      <c r="AD304" s="194"/>
      <c r="AE304" s="194"/>
      <c r="AF304" s="194"/>
      <c r="AG304" s="194"/>
      <c r="AH304" s="194"/>
      <c r="AI304" s="194"/>
      <c r="AJ304" s="194"/>
      <c r="AK304" s="194"/>
      <c r="AL304" s="194"/>
      <c r="AM304" s="194"/>
      <c r="AN304" s="194"/>
      <c r="AO304" s="194"/>
      <c r="AP304" s="194"/>
      <c r="AQ304" s="194"/>
    </row>
    <row r="305" spans="4:43" ht="20.25">
      <c r="D305" s="194"/>
      <c r="E305" s="194"/>
      <c r="F305" s="194"/>
      <c r="G305" s="194"/>
      <c r="H305" s="255"/>
      <c r="I305" s="204"/>
      <c r="J305" s="204"/>
      <c r="K305" s="204"/>
      <c r="L305" s="204"/>
      <c r="M305" s="216"/>
      <c r="N305" s="220"/>
      <c r="O305" s="220"/>
      <c r="P305" s="220"/>
      <c r="Q305" s="220"/>
      <c r="R305" s="220"/>
      <c r="S305" s="194"/>
      <c r="T305" s="194"/>
      <c r="U305" s="194"/>
      <c r="V305" s="194"/>
      <c r="W305" s="194"/>
      <c r="X305" s="194"/>
      <c r="Y305" s="194"/>
      <c r="Z305" s="194"/>
      <c r="AA305" s="194"/>
      <c r="AB305" s="194"/>
      <c r="AC305" s="194"/>
      <c r="AD305" s="194"/>
      <c r="AE305" s="194"/>
      <c r="AF305" s="194"/>
      <c r="AG305" s="194"/>
      <c r="AH305" s="194"/>
      <c r="AI305" s="194"/>
      <c r="AJ305" s="194"/>
      <c r="AK305" s="194"/>
      <c r="AL305" s="194"/>
      <c r="AM305" s="194"/>
      <c r="AN305" s="194"/>
      <c r="AO305" s="194"/>
      <c r="AP305" s="194"/>
      <c r="AQ305" s="194"/>
    </row>
    <row r="306" spans="4:43" ht="20.25">
      <c r="D306" s="194"/>
      <c r="E306" s="194"/>
      <c r="F306" s="194"/>
      <c r="G306" s="194"/>
      <c r="H306" s="255"/>
      <c r="I306" s="204"/>
      <c r="J306" s="204"/>
      <c r="K306" s="204"/>
      <c r="L306" s="204"/>
      <c r="M306" s="216"/>
      <c r="N306" s="220"/>
      <c r="O306" s="220"/>
      <c r="P306" s="220"/>
      <c r="Q306" s="220"/>
      <c r="R306" s="220"/>
      <c r="S306" s="194"/>
      <c r="T306" s="194"/>
      <c r="U306" s="194"/>
      <c r="V306" s="194"/>
      <c r="W306" s="194"/>
      <c r="X306" s="194"/>
      <c r="Y306" s="194"/>
      <c r="Z306" s="194"/>
      <c r="AA306" s="194"/>
      <c r="AB306" s="194"/>
      <c r="AC306" s="194"/>
      <c r="AD306" s="194"/>
      <c r="AE306" s="194"/>
      <c r="AF306" s="194"/>
      <c r="AG306" s="194"/>
      <c r="AH306" s="194"/>
      <c r="AI306" s="194"/>
      <c r="AJ306" s="194"/>
      <c r="AK306" s="194"/>
      <c r="AL306" s="194"/>
      <c r="AM306" s="194"/>
      <c r="AN306" s="194"/>
      <c r="AO306" s="194"/>
      <c r="AP306" s="194"/>
      <c r="AQ306" s="194"/>
    </row>
    <row r="307" spans="4:43" ht="20.25">
      <c r="D307" s="194"/>
      <c r="E307" s="194"/>
      <c r="F307" s="194"/>
      <c r="G307" s="194"/>
      <c r="H307" s="255"/>
      <c r="I307" s="204"/>
      <c r="J307" s="204"/>
      <c r="K307" s="204"/>
      <c r="L307" s="204"/>
      <c r="M307" s="216"/>
      <c r="N307" s="220"/>
      <c r="O307" s="220"/>
      <c r="P307" s="220"/>
      <c r="Q307" s="220"/>
      <c r="R307" s="220"/>
      <c r="S307" s="194"/>
      <c r="T307" s="194"/>
      <c r="U307" s="194"/>
      <c r="V307" s="194"/>
      <c r="W307" s="194"/>
      <c r="X307" s="194"/>
      <c r="Y307" s="194"/>
      <c r="Z307" s="194"/>
      <c r="AA307" s="194"/>
      <c r="AB307" s="194"/>
      <c r="AC307" s="194"/>
      <c r="AD307" s="194"/>
      <c r="AE307" s="194"/>
      <c r="AF307" s="194"/>
      <c r="AG307" s="194"/>
      <c r="AH307" s="194"/>
      <c r="AI307" s="194"/>
      <c r="AJ307" s="194"/>
      <c r="AK307" s="194"/>
      <c r="AL307" s="194"/>
      <c r="AM307" s="194"/>
      <c r="AN307" s="194"/>
      <c r="AO307" s="194"/>
      <c r="AP307" s="194"/>
      <c r="AQ307" s="194"/>
    </row>
    <row r="308" spans="4:43" ht="20.25">
      <c r="D308" s="194"/>
      <c r="E308" s="194"/>
      <c r="F308" s="194"/>
      <c r="G308" s="194"/>
      <c r="H308" s="255"/>
      <c r="I308" s="204"/>
      <c r="J308" s="204"/>
      <c r="K308" s="204"/>
      <c r="L308" s="204"/>
      <c r="M308" s="216"/>
      <c r="N308" s="220"/>
      <c r="O308" s="220"/>
      <c r="P308" s="220"/>
      <c r="Q308" s="220"/>
      <c r="R308" s="220"/>
      <c r="S308" s="194"/>
      <c r="T308" s="194"/>
      <c r="U308" s="194"/>
      <c r="V308" s="194"/>
      <c r="W308" s="194"/>
      <c r="X308" s="194"/>
      <c r="Y308" s="194"/>
      <c r="Z308" s="194"/>
      <c r="AA308" s="194"/>
      <c r="AB308" s="194"/>
      <c r="AC308" s="194"/>
      <c r="AD308" s="194"/>
      <c r="AE308" s="194"/>
      <c r="AF308" s="194"/>
      <c r="AG308" s="194"/>
      <c r="AH308" s="194"/>
      <c r="AI308" s="194"/>
      <c r="AJ308" s="194"/>
      <c r="AK308" s="194"/>
      <c r="AL308" s="194"/>
      <c r="AM308" s="194"/>
      <c r="AN308" s="194"/>
      <c r="AO308" s="194"/>
      <c r="AP308" s="194"/>
      <c r="AQ308" s="194"/>
    </row>
    <row r="309" spans="4:43" ht="20.25">
      <c r="D309" s="194"/>
      <c r="E309" s="194"/>
      <c r="F309" s="194"/>
      <c r="G309" s="194"/>
      <c r="H309" s="255"/>
      <c r="I309" s="204"/>
      <c r="J309" s="204"/>
      <c r="K309" s="204"/>
      <c r="L309" s="204"/>
      <c r="M309" s="216"/>
      <c r="N309" s="220"/>
      <c r="O309" s="220"/>
      <c r="P309" s="220"/>
      <c r="Q309" s="220"/>
      <c r="R309" s="220"/>
      <c r="S309" s="194"/>
      <c r="T309" s="194"/>
      <c r="U309" s="194"/>
      <c r="V309" s="194"/>
      <c r="W309" s="194"/>
      <c r="X309" s="194"/>
      <c r="Y309" s="194"/>
      <c r="Z309" s="194"/>
      <c r="AA309" s="194"/>
      <c r="AB309" s="194"/>
      <c r="AC309" s="194"/>
      <c r="AD309" s="194"/>
      <c r="AE309" s="194"/>
      <c r="AF309" s="194"/>
      <c r="AG309" s="194"/>
      <c r="AH309" s="194"/>
      <c r="AI309" s="194"/>
      <c r="AJ309" s="194"/>
      <c r="AK309" s="194"/>
      <c r="AL309" s="194"/>
      <c r="AM309" s="194"/>
      <c r="AN309" s="194"/>
      <c r="AO309" s="194"/>
      <c r="AP309" s="194"/>
      <c r="AQ309" s="194"/>
    </row>
    <row r="310" spans="4:43" ht="20.25">
      <c r="D310" s="194"/>
      <c r="E310" s="194"/>
      <c r="F310" s="194"/>
      <c r="G310" s="194"/>
      <c r="H310" s="255"/>
      <c r="I310" s="204"/>
      <c r="J310" s="204"/>
      <c r="K310" s="204"/>
      <c r="L310" s="204"/>
      <c r="M310" s="216"/>
      <c r="N310" s="220"/>
      <c r="O310" s="220"/>
      <c r="P310" s="220"/>
      <c r="Q310" s="220"/>
      <c r="R310" s="220"/>
      <c r="S310" s="194"/>
      <c r="T310" s="194"/>
      <c r="U310" s="194"/>
      <c r="V310" s="194"/>
      <c r="W310" s="194"/>
      <c r="X310" s="194"/>
      <c r="Y310" s="194"/>
      <c r="Z310" s="194"/>
      <c r="AA310" s="194"/>
      <c r="AB310" s="194"/>
      <c r="AC310" s="194"/>
      <c r="AD310" s="194"/>
      <c r="AE310" s="194"/>
      <c r="AF310" s="194"/>
      <c r="AG310" s="194"/>
      <c r="AH310" s="194"/>
      <c r="AI310" s="194"/>
      <c r="AJ310" s="194"/>
      <c r="AK310" s="194"/>
      <c r="AL310" s="194"/>
      <c r="AM310" s="194"/>
      <c r="AN310" s="194"/>
      <c r="AO310" s="194"/>
      <c r="AP310" s="194"/>
      <c r="AQ310" s="194"/>
    </row>
    <row r="311" spans="4:43" ht="20.25">
      <c r="D311" s="194"/>
      <c r="E311" s="194"/>
      <c r="F311" s="194"/>
      <c r="G311" s="194"/>
      <c r="H311" s="255"/>
      <c r="I311" s="204"/>
      <c r="J311" s="204"/>
      <c r="K311" s="204"/>
      <c r="L311" s="204"/>
      <c r="M311" s="216"/>
      <c r="N311" s="220"/>
      <c r="O311" s="220"/>
      <c r="P311" s="220"/>
      <c r="Q311" s="220"/>
      <c r="R311" s="220"/>
      <c r="S311" s="194"/>
      <c r="T311" s="194"/>
      <c r="U311" s="194"/>
      <c r="V311" s="194"/>
      <c r="W311" s="194"/>
      <c r="X311" s="194"/>
      <c r="Y311" s="194"/>
      <c r="Z311" s="194"/>
      <c r="AA311" s="194"/>
      <c r="AB311" s="194"/>
      <c r="AC311" s="194"/>
      <c r="AD311" s="194"/>
      <c r="AE311" s="194"/>
      <c r="AF311" s="194"/>
      <c r="AG311" s="194"/>
      <c r="AH311" s="194"/>
      <c r="AI311" s="194"/>
      <c r="AJ311" s="194"/>
      <c r="AK311" s="194"/>
      <c r="AL311" s="194"/>
      <c r="AM311" s="194"/>
      <c r="AN311" s="194"/>
      <c r="AO311" s="194"/>
      <c r="AP311" s="194"/>
      <c r="AQ311" s="194"/>
    </row>
    <row r="312" spans="4:43" ht="20.25">
      <c r="D312" s="194"/>
      <c r="E312" s="194"/>
      <c r="F312" s="194"/>
      <c r="G312" s="194"/>
      <c r="H312" s="255"/>
      <c r="I312" s="204"/>
      <c r="J312" s="204"/>
      <c r="K312" s="204"/>
      <c r="L312" s="204"/>
      <c r="M312" s="216"/>
      <c r="N312" s="220"/>
      <c r="O312" s="220"/>
      <c r="P312" s="220"/>
      <c r="Q312" s="220"/>
      <c r="R312" s="220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</row>
    <row r="313" spans="4:43" ht="20.25">
      <c r="D313" s="194"/>
      <c r="E313" s="194"/>
      <c r="F313" s="194"/>
      <c r="G313" s="194"/>
      <c r="H313" s="255"/>
      <c r="I313" s="204"/>
      <c r="J313" s="204"/>
      <c r="K313" s="204"/>
      <c r="L313" s="204"/>
      <c r="M313" s="216"/>
      <c r="N313" s="220"/>
      <c r="O313" s="220"/>
      <c r="P313" s="220"/>
      <c r="Q313" s="220"/>
      <c r="R313" s="220"/>
      <c r="S313" s="194"/>
      <c r="T313" s="194"/>
      <c r="U313" s="194"/>
      <c r="V313" s="194"/>
      <c r="W313" s="194"/>
      <c r="X313" s="194"/>
      <c r="Y313" s="194"/>
      <c r="Z313" s="194"/>
      <c r="AA313" s="194"/>
      <c r="AB313" s="194"/>
      <c r="AC313" s="194"/>
      <c r="AD313" s="194"/>
      <c r="AE313" s="194"/>
      <c r="AF313" s="194"/>
      <c r="AG313" s="194"/>
      <c r="AH313" s="194"/>
      <c r="AI313" s="194"/>
      <c r="AJ313" s="194"/>
      <c r="AK313" s="194"/>
      <c r="AL313" s="194"/>
      <c r="AM313" s="194"/>
      <c r="AN313" s="194"/>
      <c r="AO313" s="194"/>
      <c r="AP313" s="194"/>
      <c r="AQ313" s="194"/>
    </row>
    <row r="314" spans="4:43" ht="20.25">
      <c r="D314" s="194"/>
      <c r="E314" s="194"/>
      <c r="F314" s="194"/>
      <c r="G314" s="194"/>
      <c r="H314" s="255"/>
      <c r="I314" s="204"/>
      <c r="J314" s="204"/>
      <c r="K314" s="204"/>
      <c r="L314" s="204"/>
      <c r="M314" s="216"/>
      <c r="N314" s="220"/>
      <c r="O314" s="220"/>
      <c r="P314" s="220"/>
      <c r="Q314" s="220"/>
      <c r="R314" s="220"/>
      <c r="S314" s="194"/>
      <c r="T314" s="194"/>
      <c r="U314" s="194"/>
      <c r="V314" s="194"/>
      <c r="W314" s="194"/>
      <c r="X314" s="194"/>
      <c r="Y314" s="194"/>
      <c r="Z314" s="194"/>
      <c r="AA314" s="194"/>
      <c r="AB314" s="194"/>
      <c r="AC314" s="194"/>
      <c r="AD314" s="194"/>
      <c r="AE314" s="194"/>
      <c r="AF314" s="194"/>
      <c r="AG314" s="194"/>
      <c r="AH314" s="194"/>
      <c r="AI314" s="194"/>
      <c r="AJ314" s="194"/>
      <c r="AK314" s="194"/>
      <c r="AL314" s="194"/>
      <c r="AM314" s="194"/>
      <c r="AN314" s="194"/>
      <c r="AO314" s="194"/>
      <c r="AP314" s="194"/>
      <c r="AQ314" s="194"/>
    </row>
    <row r="315" spans="4:43" ht="20.25">
      <c r="D315" s="194"/>
      <c r="E315" s="194"/>
      <c r="F315" s="194"/>
      <c r="G315" s="194"/>
      <c r="H315" s="255"/>
      <c r="I315" s="204"/>
      <c r="J315" s="204"/>
      <c r="K315" s="204"/>
      <c r="L315" s="204"/>
      <c r="M315" s="216"/>
      <c r="N315" s="220"/>
      <c r="O315" s="220"/>
      <c r="P315" s="220"/>
      <c r="Q315" s="220"/>
      <c r="R315" s="220"/>
      <c r="S315" s="194"/>
      <c r="T315" s="194"/>
      <c r="U315" s="194"/>
      <c r="V315" s="194"/>
      <c r="W315" s="194"/>
      <c r="X315" s="194"/>
      <c r="Y315" s="194"/>
      <c r="Z315" s="194"/>
      <c r="AA315" s="194"/>
      <c r="AB315" s="194"/>
      <c r="AC315" s="194"/>
      <c r="AD315" s="194"/>
      <c r="AE315" s="194"/>
      <c r="AF315" s="194"/>
      <c r="AG315" s="194"/>
      <c r="AH315" s="194"/>
      <c r="AI315" s="194"/>
      <c r="AJ315" s="194"/>
      <c r="AK315" s="194"/>
      <c r="AL315" s="194"/>
      <c r="AM315" s="194"/>
      <c r="AN315" s="194"/>
      <c r="AO315" s="194"/>
      <c r="AP315" s="194"/>
      <c r="AQ315" s="194"/>
    </row>
    <row r="316" spans="4:43" ht="20.25">
      <c r="D316" s="194"/>
      <c r="E316" s="194"/>
      <c r="F316" s="194"/>
      <c r="G316" s="194"/>
      <c r="H316" s="255"/>
      <c r="I316" s="204"/>
      <c r="J316" s="204"/>
      <c r="K316" s="204"/>
      <c r="L316" s="204"/>
      <c r="M316" s="216"/>
      <c r="N316" s="220"/>
      <c r="O316" s="220"/>
      <c r="P316" s="220"/>
      <c r="Q316" s="220"/>
      <c r="R316" s="220"/>
      <c r="S316" s="194"/>
      <c r="T316" s="194"/>
      <c r="U316" s="194"/>
      <c r="V316" s="194"/>
      <c r="W316" s="194"/>
      <c r="X316" s="194"/>
      <c r="Y316" s="194"/>
      <c r="Z316" s="194"/>
      <c r="AA316" s="194"/>
      <c r="AB316" s="194"/>
      <c r="AC316" s="194"/>
      <c r="AD316" s="194"/>
      <c r="AE316" s="194"/>
      <c r="AF316" s="194"/>
      <c r="AG316" s="194"/>
      <c r="AH316" s="194"/>
      <c r="AI316" s="194"/>
      <c r="AJ316" s="194"/>
      <c r="AK316" s="194"/>
      <c r="AL316" s="194"/>
      <c r="AM316" s="194"/>
      <c r="AN316" s="194"/>
      <c r="AO316" s="194"/>
      <c r="AP316" s="194"/>
      <c r="AQ316" s="194"/>
    </row>
    <row r="317" spans="4:43" ht="20.25">
      <c r="D317" s="194"/>
      <c r="E317" s="194"/>
      <c r="F317" s="194"/>
      <c r="G317" s="194"/>
      <c r="H317" s="255"/>
      <c r="I317" s="204"/>
      <c r="J317" s="204"/>
      <c r="K317" s="204"/>
      <c r="L317" s="204"/>
      <c r="M317" s="216"/>
      <c r="N317" s="220"/>
      <c r="O317" s="220"/>
      <c r="P317" s="220"/>
      <c r="Q317" s="220"/>
      <c r="R317" s="220"/>
      <c r="S317" s="194"/>
      <c r="T317" s="194"/>
      <c r="U317" s="194"/>
      <c r="V317" s="194"/>
      <c r="W317" s="194"/>
      <c r="X317" s="194"/>
      <c r="Y317" s="194"/>
      <c r="Z317" s="194"/>
      <c r="AA317" s="194"/>
      <c r="AB317" s="194"/>
      <c r="AC317" s="194"/>
      <c r="AD317" s="194"/>
      <c r="AE317" s="194"/>
      <c r="AF317" s="194"/>
      <c r="AG317" s="194"/>
      <c r="AH317" s="194"/>
      <c r="AI317" s="194"/>
      <c r="AJ317" s="194"/>
      <c r="AK317" s="194"/>
      <c r="AL317" s="194"/>
      <c r="AM317" s="194"/>
      <c r="AN317" s="194"/>
      <c r="AO317" s="194"/>
      <c r="AP317" s="194"/>
      <c r="AQ317" s="194"/>
    </row>
    <row r="318" spans="4:43" ht="20.25">
      <c r="D318" s="194"/>
      <c r="E318" s="194"/>
      <c r="F318" s="194"/>
      <c r="G318" s="194"/>
      <c r="H318" s="255"/>
      <c r="I318" s="204"/>
      <c r="J318" s="204"/>
      <c r="K318" s="204"/>
      <c r="L318" s="204"/>
      <c r="M318" s="216"/>
      <c r="N318" s="220"/>
      <c r="O318" s="220"/>
      <c r="P318" s="220"/>
      <c r="Q318" s="220"/>
      <c r="R318" s="220"/>
      <c r="S318" s="194"/>
      <c r="T318" s="194"/>
      <c r="U318" s="194"/>
      <c r="V318" s="194"/>
      <c r="W318" s="194"/>
      <c r="X318" s="194"/>
      <c r="Y318" s="194"/>
      <c r="Z318" s="194"/>
      <c r="AA318" s="194"/>
      <c r="AB318" s="194"/>
      <c r="AC318" s="194"/>
      <c r="AD318" s="194"/>
      <c r="AE318" s="194"/>
      <c r="AF318" s="194"/>
      <c r="AG318" s="194"/>
      <c r="AH318" s="194"/>
      <c r="AI318" s="194"/>
      <c r="AJ318" s="194"/>
      <c r="AK318" s="194"/>
      <c r="AL318" s="194"/>
      <c r="AM318" s="194"/>
      <c r="AN318" s="194"/>
      <c r="AO318" s="194"/>
      <c r="AP318" s="194"/>
      <c r="AQ318" s="194"/>
    </row>
    <row r="319" spans="4:43" ht="20.25">
      <c r="D319" s="194"/>
      <c r="E319" s="194"/>
      <c r="F319" s="194"/>
      <c r="G319" s="194"/>
      <c r="H319" s="255"/>
      <c r="I319" s="204"/>
      <c r="J319" s="204"/>
      <c r="K319" s="204"/>
      <c r="L319" s="204"/>
      <c r="M319" s="216"/>
      <c r="N319" s="220"/>
      <c r="O319" s="220"/>
      <c r="P319" s="220"/>
      <c r="Q319" s="220"/>
      <c r="R319" s="220"/>
      <c r="S319" s="194"/>
      <c r="T319" s="194"/>
      <c r="U319" s="194"/>
      <c r="V319" s="194"/>
      <c r="W319" s="194"/>
      <c r="X319" s="194"/>
      <c r="Y319" s="194"/>
      <c r="Z319" s="194"/>
      <c r="AA319" s="194"/>
      <c r="AB319" s="194"/>
      <c r="AC319" s="194"/>
      <c r="AD319" s="194"/>
      <c r="AE319" s="194"/>
      <c r="AF319" s="194"/>
      <c r="AG319" s="194"/>
      <c r="AH319" s="194"/>
      <c r="AI319" s="194"/>
      <c r="AJ319" s="194"/>
      <c r="AK319" s="194"/>
      <c r="AL319" s="194"/>
      <c r="AM319" s="194"/>
      <c r="AN319" s="194"/>
      <c r="AO319" s="194"/>
      <c r="AP319" s="194"/>
      <c r="AQ319" s="194"/>
    </row>
    <row r="320" spans="4:43" ht="20.25">
      <c r="D320" s="194"/>
      <c r="E320" s="194"/>
      <c r="F320" s="194"/>
      <c r="G320" s="194"/>
      <c r="H320" s="255"/>
      <c r="I320" s="204"/>
      <c r="J320" s="204"/>
      <c r="K320" s="204"/>
      <c r="L320" s="204"/>
      <c r="M320" s="216"/>
      <c r="N320" s="220"/>
      <c r="O320" s="220"/>
      <c r="P320" s="220"/>
      <c r="Q320" s="220"/>
      <c r="R320" s="220"/>
      <c r="S320" s="194"/>
      <c r="T320" s="194"/>
      <c r="U320" s="194"/>
      <c r="V320" s="194"/>
      <c r="W320" s="194"/>
      <c r="X320" s="194"/>
      <c r="Y320" s="194"/>
      <c r="Z320" s="194"/>
      <c r="AA320" s="194"/>
      <c r="AB320" s="194"/>
      <c r="AC320" s="194"/>
      <c r="AD320" s="194"/>
      <c r="AE320" s="194"/>
      <c r="AF320" s="194"/>
      <c r="AG320" s="194"/>
      <c r="AH320" s="194"/>
      <c r="AI320" s="194"/>
      <c r="AJ320" s="194"/>
      <c r="AK320" s="194"/>
      <c r="AL320" s="194"/>
      <c r="AM320" s="194"/>
      <c r="AN320" s="194"/>
      <c r="AO320" s="194"/>
      <c r="AP320" s="194"/>
      <c r="AQ320" s="194"/>
    </row>
    <row r="321" spans="4:43" ht="20.25">
      <c r="D321" s="194"/>
      <c r="E321" s="194"/>
      <c r="F321" s="194"/>
      <c r="G321" s="194"/>
      <c r="H321" s="255"/>
      <c r="I321" s="204"/>
      <c r="J321" s="204"/>
      <c r="K321" s="204"/>
      <c r="L321" s="204"/>
      <c r="M321" s="216"/>
      <c r="N321" s="220"/>
      <c r="O321" s="220"/>
      <c r="P321" s="220"/>
      <c r="Q321" s="220"/>
      <c r="R321" s="220"/>
      <c r="S321" s="194"/>
      <c r="T321" s="194"/>
      <c r="U321" s="194"/>
      <c r="V321" s="194"/>
      <c r="W321" s="194"/>
      <c r="X321" s="194"/>
      <c r="Y321" s="194"/>
      <c r="Z321" s="194"/>
      <c r="AA321" s="194"/>
      <c r="AB321" s="194"/>
      <c r="AC321" s="194"/>
      <c r="AD321" s="194"/>
      <c r="AE321" s="194"/>
      <c r="AF321" s="194"/>
      <c r="AG321" s="194"/>
      <c r="AH321" s="194"/>
      <c r="AI321" s="194"/>
      <c r="AJ321" s="194"/>
      <c r="AK321" s="194"/>
      <c r="AL321" s="194"/>
      <c r="AM321" s="194"/>
      <c r="AN321" s="194"/>
      <c r="AO321" s="194"/>
      <c r="AP321" s="194"/>
      <c r="AQ321" s="194"/>
    </row>
    <row r="322" spans="4:43" ht="20.25">
      <c r="D322" s="194"/>
      <c r="E322" s="194"/>
      <c r="F322" s="194"/>
      <c r="G322" s="194"/>
      <c r="H322" s="255"/>
      <c r="I322" s="204"/>
      <c r="J322" s="204"/>
      <c r="K322" s="204"/>
      <c r="L322" s="204"/>
      <c r="M322" s="216"/>
      <c r="N322" s="220"/>
      <c r="O322" s="220"/>
      <c r="P322" s="220"/>
      <c r="Q322" s="220"/>
      <c r="R322" s="220"/>
      <c r="S322" s="194"/>
      <c r="T322" s="194"/>
      <c r="U322" s="194"/>
      <c r="V322" s="194"/>
      <c r="W322" s="194"/>
      <c r="X322" s="194"/>
      <c r="Y322" s="194"/>
      <c r="Z322" s="194"/>
      <c r="AA322" s="194"/>
      <c r="AB322" s="194"/>
      <c r="AC322" s="194"/>
      <c r="AD322" s="194"/>
      <c r="AE322" s="194"/>
      <c r="AF322" s="194"/>
      <c r="AG322" s="194"/>
      <c r="AH322" s="194"/>
      <c r="AI322" s="194"/>
      <c r="AJ322" s="194"/>
      <c r="AK322" s="194"/>
      <c r="AL322" s="194"/>
      <c r="AM322" s="194"/>
      <c r="AN322" s="194"/>
      <c r="AO322" s="194"/>
      <c r="AP322" s="194"/>
      <c r="AQ322" s="194"/>
    </row>
    <row r="323" spans="4:43" ht="20.25">
      <c r="D323" s="194"/>
      <c r="E323" s="194"/>
      <c r="F323" s="194"/>
      <c r="G323" s="194"/>
      <c r="H323" s="255"/>
      <c r="I323" s="204"/>
      <c r="J323" s="204"/>
      <c r="K323" s="204"/>
      <c r="L323" s="204"/>
      <c r="M323" s="216"/>
      <c r="N323" s="220"/>
      <c r="O323" s="220"/>
      <c r="P323" s="220"/>
      <c r="Q323" s="220"/>
      <c r="R323" s="220"/>
      <c r="S323" s="194"/>
      <c r="T323" s="194"/>
      <c r="U323" s="194"/>
      <c r="V323" s="194"/>
      <c r="W323" s="194"/>
      <c r="X323" s="194"/>
      <c r="Y323" s="194"/>
      <c r="Z323" s="194"/>
      <c r="AA323" s="194"/>
      <c r="AB323" s="194"/>
      <c r="AC323" s="194"/>
      <c r="AD323" s="194"/>
      <c r="AE323" s="194"/>
      <c r="AF323" s="194"/>
      <c r="AG323" s="194"/>
      <c r="AH323" s="194"/>
      <c r="AI323" s="194"/>
      <c r="AJ323" s="194"/>
      <c r="AK323" s="194"/>
      <c r="AL323" s="194"/>
      <c r="AM323" s="194"/>
      <c r="AN323" s="194"/>
      <c r="AO323" s="194"/>
      <c r="AP323" s="194"/>
      <c r="AQ323" s="194"/>
    </row>
    <row r="324" spans="4:43" ht="20.25">
      <c r="D324" s="194"/>
      <c r="E324" s="194"/>
      <c r="F324" s="194"/>
      <c r="G324" s="194"/>
      <c r="H324" s="255"/>
      <c r="I324" s="204"/>
      <c r="J324" s="204"/>
      <c r="K324" s="204"/>
      <c r="L324" s="204"/>
      <c r="M324" s="216"/>
      <c r="N324" s="220"/>
      <c r="O324" s="220"/>
      <c r="P324" s="220"/>
      <c r="Q324" s="220"/>
      <c r="R324" s="220"/>
      <c r="S324" s="194"/>
      <c r="T324" s="194"/>
      <c r="U324" s="194"/>
      <c r="V324" s="194"/>
      <c r="W324" s="194"/>
      <c r="X324" s="194"/>
      <c r="Y324" s="194"/>
      <c r="Z324" s="194"/>
      <c r="AA324" s="194"/>
      <c r="AB324" s="194"/>
      <c r="AC324" s="194"/>
      <c r="AD324" s="194"/>
      <c r="AE324" s="194"/>
      <c r="AF324" s="194"/>
      <c r="AG324" s="194"/>
      <c r="AH324" s="194"/>
      <c r="AI324" s="194"/>
      <c r="AJ324" s="194"/>
      <c r="AK324" s="194"/>
      <c r="AL324" s="194"/>
      <c r="AM324" s="194"/>
      <c r="AN324" s="194"/>
      <c r="AO324" s="194"/>
      <c r="AP324" s="194"/>
      <c r="AQ324" s="194"/>
    </row>
    <row r="325" spans="4:43" ht="20.25">
      <c r="D325" s="194"/>
      <c r="E325" s="194"/>
      <c r="F325" s="194"/>
      <c r="G325" s="194"/>
      <c r="H325" s="255"/>
      <c r="I325" s="204"/>
      <c r="J325" s="204"/>
      <c r="K325" s="204"/>
      <c r="L325" s="204"/>
      <c r="M325" s="216"/>
      <c r="N325" s="220"/>
      <c r="O325" s="220"/>
      <c r="P325" s="220"/>
      <c r="Q325" s="220"/>
      <c r="R325" s="220"/>
      <c r="S325" s="194"/>
      <c r="T325" s="194"/>
      <c r="U325" s="194"/>
      <c r="V325" s="194"/>
      <c r="W325" s="194"/>
      <c r="X325" s="194"/>
      <c r="Y325" s="194"/>
      <c r="Z325" s="194"/>
      <c r="AA325" s="194"/>
      <c r="AB325" s="194"/>
      <c r="AC325" s="194"/>
      <c r="AD325" s="194"/>
      <c r="AE325" s="194"/>
      <c r="AF325" s="194"/>
      <c r="AG325" s="194"/>
      <c r="AH325" s="194"/>
      <c r="AI325" s="194"/>
      <c r="AJ325" s="194"/>
      <c r="AK325" s="194"/>
      <c r="AL325" s="194"/>
      <c r="AM325" s="194"/>
      <c r="AN325" s="194"/>
      <c r="AO325" s="194"/>
      <c r="AP325" s="194"/>
      <c r="AQ325" s="194"/>
    </row>
    <row r="326" spans="4:43" ht="20.25">
      <c r="D326" s="194"/>
      <c r="E326" s="194"/>
      <c r="F326" s="194"/>
      <c r="G326" s="194"/>
      <c r="H326" s="255"/>
      <c r="I326" s="204"/>
      <c r="J326" s="204"/>
      <c r="K326" s="204"/>
      <c r="L326" s="204"/>
      <c r="M326" s="216"/>
      <c r="N326" s="220"/>
      <c r="O326" s="220"/>
      <c r="P326" s="220"/>
      <c r="Q326" s="220"/>
      <c r="R326" s="220"/>
      <c r="S326" s="194"/>
      <c r="T326" s="194"/>
      <c r="U326" s="194"/>
      <c r="V326" s="194"/>
      <c r="W326" s="194"/>
      <c r="X326" s="194"/>
      <c r="Y326" s="194"/>
      <c r="Z326" s="194"/>
      <c r="AA326" s="194"/>
      <c r="AB326" s="194"/>
      <c r="AC326" s="194"/>
      <c r="AD326" s="194"/>
      <c r="AE326" s="194"/>
      <c r="AF326" s="194"/>
      <c r="AG326" s="194"/>
      <c r="AH326" s="194"/>
      <c r="AI326" s="194"/>
      <c r="AJ326" s="194"/>
      <c r="AK326" s="194"/>
      <c r="AL326" s="194"/>
      <c r="AM326" s="194"/>
      <c r="AN326" s="194"/>
      <c r="AO326" s="194"/>
      <c r="AP326" s="194"/>
      <c r="AQ326" s="194"/>
    </row>
    <row r="327" spans="4:43" ht="20.25">
      <c r="D327" s="194"/>
      <c r="E327" s="194"/>
      <c r="F327" s="194"/>
      <c r="G327" s="194"/>
      <c r="H327" s="255"/>
      <c r="I327" s="204"/>
      <c r="J327" s="204"/>
      <c r="K327" s="204"/>
      <c r="L327" s="204"/>
      <c r="M327" s="216"/>
      <c r="N327" s="220"/>
      <c r="O327" s="220"/>
      <c r="P327" s="220"/>
      <c r="Q327" s="220"/>
      <c r="R327" s="220"/>
      <c r="S327" s="194"/>
      <c r="T327" s="194"/>
      <c r="U327" s="194"/>
      <c r="V327" s="194"/>
      <c r="W327" s="194"/>
      <c r="X327" s="194"/>
      <c r="Y327" s="194"/>
      <c r="Z327" s="194"/>
      <c r="AA327" s="194"/>
      <c r="AB327" s="194"/>
      <c r="AC327" s="194"/>
      <c r="AD327" s="194"/>
      <c r="AE327" s="194"/>
      <c r="AF327" s="194"/>
      <c r="AG327" s="194"/>
      <c r="AH327" s="194"/>
      <c r="AI327" s="194"/>
      <c r="AJ327" s="194"/>
      <c r="AK327" s="194"/>
      <c r="AL327" s="194"/>
      <c r="AM327" s="194"/>
      <c r="AN327" s="194"/>
      <c r="AO327" s="194"/>
      <c r="AP327" s="194"/>
      <c r="AQ327" s="194"/>
    </row>
    <row r="328" spans="4:43" ht="20.25">
      <c r="D328" s="194"/>
      <c r="E328" s="194"/>
      <c r="F328" s="194"/>
      <c r="G328" s="194"/>
      <c r="H328" s="255"/>
      <c r="I328" s="204"/>
      <c r="J328" s="204"/>
      <c r="K328" s="204"/>
      <c r="L328" s="204"/>
      <c r="M328" s="216"/>
      <c r="N328" s="220"/>
      <c r="O328" s="220"/>
      <c r="P328" s="220"/>
      <c r="Q328" s="220"/>
      <c r="R328" s="220"/>
      <c r="S328" s="194"/>
      <c r="T328" s="194"/>
      <c r="U328" s="194"/>
      <c r="V328" s="194"/>
      <c r="W328" s="194"/>
      <c r="X328" s="194"/>
      <c r="Y328" s="194"/>
      <c r="Z328" s="194"/>
      <c r="AA328" s="194"/>
      <c r="AB328" s="194"/>
      <c r="AC328" s="194"/>
      <c r="AD328" s="194"/>
      <c r="AE328" s="194"/>
      <c r="AF328" s="194"/>
      <c r="AG328" s="194"/>
      <c r="AH328" s="194"/>
      <c r="AI328" s="194"/>
      <c r="AJ328" s="194"/>
      <c r="AK328" s="194"/>
      <c r="AL328" s="194"/>
      <c r="AM328" s="194"/>
      <c r="AN328" s="194"/>
      <c r="AO328" s="194"/>
      <c r="AP328" s="194"/>
      <c r="AQ328" s="194"/>
    </row>
    <row r="329" spans="4:43" ht="20.25">
      <c r="D329" s="194"/>
      <c r="E329" s="194"/>
      <c r="F329" s="194"/>
      <c r="G329" s="194"/>
      <c r="H329" s="255"/>
      <c r="I329" s="204"/>
      <c r="J329" s="204"/>
      <c r="K329" s="204"/>
      <c r="L329" s="204"/>
      <c r="M329" s="216"/>
      <c r="N329" s="220"/>
      <c r="O329" s="220"/>
      <c r="P329" s="220"/>
      <c r="Q329" s="220"/>
      <c r="R329" s="220"/>
      <c r="S329" s="194"/>
      <c r="T329" s="194"/>
      <c r="U329" s="194"/>
      <c r="V329" s="194"/>
      <c r="W329" s="194"/>
      <c r="X329" s="194"/>
      <c r="Y329" s="194"/>
      <c r="Z329" s="194"/>
      <c r="AA329" s="194"/>
      <c r="AB329" s="194"/>
      <c r="AC329" s="194"/>
      <c r="AD329" s="194"/>
      <c r="AE329" s="194"/>
      <c r="AF329" s="194"/>
      <c r="AG329" s="194"/>
      <c r="AH329" s="194"/>
      <c r="AI329" s="194"/>
      <c r="AJ329" s="194"/>
      <c r="AK329" s="194"/>
      <c r="AL329" s="194"/>
      <c r="AM329" s="194"/>
      <c r="AN329" s="194"/>
      <c r="AO329" s="194"/>
      <c r="AP329" s="194"/>
      <c r="AQ329" s="194"/>
    </row>
    <row r="330" spans="4:43" ht="20.25">
      <c r="D330" s="194"/>
      <c r="E330" s="194"/>
      <c r="F330" s="194"/>
      <c r="G330" s="194"/>
      <c r="H330" s="255"/>
      <c r="I330" s="204"/>
      <c r="J330" s="204"/>
      <c r="K330" s="204"/>
      <c r="L330" s="204"/>
      <c r="M330" s="216"/>
      <c r="N330" s="220"/>
      <c r="O330" s="220"/>
      <c r="P330" s="220"/>
      <c r="Q330" s="220"/>
      <c r="R330" s="220"/>
      <c r="S330" s="194"/>
      <c r="T330" s="194"/>
      <c r="U330" s="194"/>
      <c r="V330" s="194"/>
      <c r="W330" s="194"/>
      <c r="X330" s="194"/>
      <c r="Y330" s="194"/>
      <c r="Z330" s="194"/>
      <c r="AA330" s="194"/>
      <c r="AB330" s="194"/>
      <c r="AC330" s="194"/>
      <c r="AD330" s="194"/>
      <c r="AE330" s="194"/>
      <c r="AF330" s="194"/>
      <c r="AG330" s="194"/>
      <c r="AH330" s="194"/>
      <c r="AI330" s="194"/>
      <c r="AJ330" s="194"/>
      <c r="AK330" s="194"/>
      <c r="AL330" s="194"/>
      <c r="AM330" s="194"/>
      <c r="AN330" s="194"/>
      <c r="AO330" s="194"/>
      <c r="AP330" s="194"/>
      <c r="AQ330" s="194"/>
    </row>
    <row r="331" spans="4:43" ht="20.25">
      <c r="D331" s="194"/>
      <c r="E331" s="194"/>
      <c r="F331" s="194"/>
      <c r="G331" s="194"/>
      <c r="H331" s="255"/>
      <c r="I331" s="204"/>
      <c r="J331" s="204"/>
      <c r="K331" s="204"/>
      <c r="L331" s="204"/>
      <c r="M331" s="216"/>
      <c r="N331" s="220"/>
      <c r="O331" s="220"/>
      <c r="P331" s="220"/>
      <c r="Q331" s="220"/>
      <c r="R331" s="220"/>
      <c r="S331" s="194"/>
      <c r="T331" s="194"/>
      <c r="U331" s="194"/>
      <c r="V331" s="194"/>
      <c r="W331" s="194"/>
      <c r="X331" s="194"/>
      <c r="Y331" s="194"/>
      <c r="Z331" s="194"/>
      <c r="AA331" s="194"/>
      <c r="AB331" s="194"/>
      <c r="AC331" s="194"/>
      <c r="AD331" s="194"/>
      <c r="AE331" s="194"/>
      <c r="AF331" s="194"/>
      <c r="AG331" s="194"/>
      <c r="AH331" s="194"/>
      <c r="AI331" s="194"/>
      <c r="AJ331" s="194"/>
      <c r="AK331" s="194"/>
      <c r="AL331" s="194"/>
      <c r="AM331" s="194"/>
      <c r="AN331" s="194"/>
      <c r="AO331" s="194"/>
      <c r="AP331" s="194"/>
      <c r="AQ331" s="194"/>
    </row>
    <row r="332" spans="4:43" ht="20.25">
      <c r="D332" s="194"/>
      <c r="E332" s="194"/>
      <c r="F332" s="194"/>
      <c r="G332" s="194"/>
      <c r="H332" s="255"/>
      <c r="I332" s="204"/>
      <c r="J332" s="204"/>
      <c r="K332" s="204"/>
      <c r="L332" s="204"/>
      <c r="M332" s="216"/>
      <c r="N332" s="220"/>
      <c r="O332" s="220"/>
      <c r="P332" s="220"/>
      <c r="Q332" s="220"/>
      <c r="R332" s="220"/>
      <c r="S332" s="194"/>
      <c r="T332" s="194"/>
      <c r="U332" s="194"/>
      <c r="V332" s="194"/>
      <c r="W332" s="194"/>
      <c r="X332" s="194"/>
      <c r="Y332" s="194"/>
      <c r="Z332" s="194"/>
      <c r="AA332" s="194"/>
      <c r="AB332" s="194"/>
      <c r="AC332" s="194"/>
      <c r="AD332" s="194"/>
      <c r="AE332" s="194"/>
      <c r="AF332" s="194"/>
      <c r="AG332" s="194"/>
      <c r="AH332" s="194"/>
      <c r="AI332" s="194"/>
      <c r="AJ332" s="194"/>
      <c r="AK332" s="194"/>
      <c r="AL332" s="194"/>
      <c r="AM332" s="194"/>
      <c r="AN332" s="194"/>
      <c r="AO332" s="194"/>
      <c r="AP332" s="194"/>
      <c r="AQ332" s="194"/>
    </row>
    <row r="333" spans="4:43" ht="20.25">
      <c r="D333" s="194"/>
      <c r="E333" s="194"/>
      <c r="F333" s="194"/>
      <c r="G333" s="194"/>
      <c r="H333" s="255"/>
      <c r="I333" s="204"/>
      <c r="J333" s="204"/>
      <c r="K333" s="204"/>
      <c r="L333" s="204"/>
      <c r="M333" s="216"/>
      <c r="N333" s="220"/>
      <c r="O333" s="220"/>
      <c r="P333" s="220"/>
      <c r="Q333" s="220"/>
      <c r="R333" s="220"/>
      <c r="S333" s="194"/>
      <c r="T333" s="194"/>
      <c r="U333" s="194"/>
      <c r="V333" s="194"/>
      <c r="W333" s="194"/>
      <c r="X333" s="194"/>
      <c r="Y333" s="194"/>
      <c r="Z333" s="194"/>
      <c r="AA333" s="194"/>
      <c r="AB333" s="194"/>
      <c r="AC333" s="194"/>
      <c r="AD333" s="194"/>
      <c r="AE333" s="194"/>
      <c r="AF333" s="194"/>
      <c r="AG333" s="194"/>
      <c r="AH333" s="194"/>
      <c r="AI333" s="194"/>
      <c r="AJ333" s="194"/>
      <c r="AK333" s="194"/>
      <c r="AL333" s="194"/>
      <c r="AM333" s="194"/>
      <c r="AN333" s="194"/>
      <c r="AO333" s="194"/>
      <c r="AP333" s="194"/>
      <c r="AQ333" s="194"/>
    </row>
    <row r="334" spans="4:43" ht="20.25">
      <c r="D334" s="194"/>
      <c r="E334" s="194"/>
      <c r="F334" s="194"/>
      <c r="G334" s="194"/>
      <c r="H334" s="255"/>
      <c r="I334" s="204"/>
      <c r="J334" s="204"/>
      <c r="K334" s="204"/>
      <c r="L334" s="204"/>
      <c r="M334" s="216"/>
      <c r="N334" s="220"/>
      <c r="O334" s="220"/>
      <c r="P334" s="220"/>
      <c r="Q334" s="220"/>
      <c r="R334" s="220"/>
      <c r="S334" s="194"/>
      <c r="T334" s="194"/>
      <c r="U334" s="194"/>
      <c r="V334" s="194"/>
      <c r="W334" s="194"/>
      <c r="X334" s="194"/>
      <c r="Y334" s="194"/>
      <c r="Z334" s="194"/>
      <c r="AA334" s="194"/>
      <c r="AB334" s="194"/>
      <c r="AC334" s="194"/>
      <c r="AD334" s="194"/>
      <c r="AE334" s="194"/>
      <c r="AF334" s="194"/>
      <c r="AG334" s="194"/>
      <c r="AH334" s="194"/>
      <c r="AI334" s="194"/>
      <c r="AJ334" s="194"/>
      <c r="AK334" s="194"/>
      <c r="AL334" s="194"/>
      <c r="AM334" s="194"/>
      <c r="AN334" s="194"/>
      <c r="AO334" s="194"/>
      <c r="AP334" s="194"/>
      <c r="AQ334" s="194"/>
    </row>
    <row r="335" spans="4:43" ht="20.25">
      <c r="D335" s="194"/>
      <c r="E335" s="194"/>
      <c r="F335" s="194"/>
      <c r="G335" s="194"/>
      <c r="H335" s="255"/>
      <c r="I335" s="204"/>
      <c r="J335" s="204"/>
      <c r="K335" s="204"/>
      <c r="L335" s="204"/>
      <c r="M335" s="216"/>
      <c r="N335" s="220"/>
      <c r="O335" s="220"/>
      <c r="P335" s="220"/>
      <c r="Q335" s="220"/>
      <c r="R335" s="220"/>
      <c r="S335" s="194"/>
      <c r="T335" s="194"/>
      <c r="U335" s="194"/>
      <c r="V335" s="194"/>
      <c r="W335" s="194"/>
      <c r="X335" s="194"/>
      <c r="Y335" s="194"/>
      <c r="Z335" s="194"/>
      <c r="AA335" s="194"/>
      <c r="AB335" s="194"/>
      <c r="AC335" s="194"/>
      <c r="AD335" s="194"/>
      <c r="AE335" s="194"/>
      <c r="AF335" s="194"/>
      <c r="AG335" s="194"/>
      <c r="AH335" s="194"/>
      <c r="AI335" s="194"/>
      <c r="AJ335" s="194"/>
      <c r="AK335" s="194"/>
      <c r="AL335" s="194"/>
      <c r="AM335" s="194"/>
      <c r="AN335" s="194"/>
      <c r="AO335" s="194"/>
      <c r="AP335" s="194"/>
      <c r="AQ335" s="194"/>
    </row>
    <row r="336" spans="4:43" ht="20.25">
      <c r="D336" s="194"/>
      <c r="E336" s="194"/>
      <c r="F336" s="194"/>
      <c r="G336" s="194"/>
      <c r="H336" s="255"/>
      <c r="I336" s="204"/>
      <c r="J336" s="204"/>
      <c r="K336" s="204"/>
      <c r="L336" s="204"/>
      <c r="M336" s="216"/>
      <c r="N336" s="220"/>
      <c r="O336" s="220"/>
      <c r="P336" s="220"/>
      <c r="Q336" s="220"/>
      <c r="R336" s="220"/>
      <c r="S336" s="194"/>
      <c r="T336" s="194"/>
      <c r="U336" s="194"/>
      <c r="V336" s="194"/>
      <c r="W336" s="194"/>
      <c r="X336" s="194"/>
      <c r="Y336" s="194"/>
      <c r="Z336" s="194"/>
      <c r="AA336" s="194"/>
      <c r="AB336" s="194"/>
      <c r="AC336" s="194"/>
      <c r="AD336" s="194"/>
      <c r="AE336" s="194"/>
      <c r="AF336" s="194"/>
      <c r="AG336" s="194"/>
      <c r="AH336" s="194"/>
      <c r="AI336" s="194"/>
      <c r="AJ336" s="194"/>
      <c r="AK336" s="194"/>
      <c r="AL336" s="194"/>
      <c r="AM336" s="194"/>
      <c r="AN336" s="194"/>
      <c r="AO336" s="194"/>
      <c r="AP336" s="194"/>
      <c r="AQ336" s="194"/>
    </row>
    <row r="337" spans="4:43" ht="20.25">
      <c r="D337" s="194"/>
      <c r="E337" s="194"/>
      <c r="F337" s="194"/>
      <c r="G337" s="194"/>
      <c r="H337" s="255"/>
      <c r="I337" s="204"/>
      <c r="J337" s="204"/>
      <c r="K337" s="204"/>
      <c r="L337" s="204"/>
      <c r="M337" s="216"/>
      <c r="N337" s="220"/>
      <c r="O337" s="220"/>
      <c r="P337" s="220"/>
      <c r="Q337" s="220"/>
      <c r="R337" s="220"/>
      <c r="S337" s="194"/>
      <c r="T337" s="194"/>
      <c r="U337" s="194"/>
      <c r="V337" s="194"/>
      <c r="W337" s="194"/>
      <c r="X337" s="194"/>
      <c r="Y337" s="194"/>
      <c r="Z337" s="194"/>
      <c r="AA337" s="194"/>
      <c r="AB337" s="194"/>
      <c r="AC337" s="194"/>
      <c r="AD337" s="194"/>
      <c r="AE337" s="194"/>
      <c r="AF337" s="194"/>
      <c r="AG337" s="194"/>
      <c r="AH337" s="194"/>
      <c r="AI337" s="194"/>
      <c r="AJ337" s="194"/>
      <c r="AK337" s="194"/>
      <c r="AL337" s="194"/>
      <c r="AM337" s="194"/>
      <c r="AN337" s="194"/>
      <c r="AO337" s="194"/>
      <c r="AP337" s="194"/>
      <c r="AQ337" s="194"/>
    </row>
    <row r="338" spans="4:43" ht="20.25">
      <c r="D338" s="194"/>
      <c r="E338" s="194"/>
      <c r="F338" s="194"/>
      <c r="G338" s="194"/>
      <c r="H338" s="255"/>
      <c r="I338" s="204"/>
      <c r="J338" s="204"/>
      <c r="K338" s="204"/>
      <c r="L338" s="204"/>
      <c r="M338" s="216"/>
      <c r="N338" s="220"/>
      <c r="O338" s="220"/>
      <c r="P338" s="220"/>
      <c r="Q338" s="220"/>
      <c r="R338" s="220"/>
      <c r="S338" s="194"/>
      <c r="T338" s="194"/>
      <c r="U338" s="194"/>
      <c r="V338" s="194"/>
      <c r="W338" s="194"/>
      <c r="X338" s="194"/>
      <c r="Y338" s="194"/>
      <c r="Z338" s="194"/>
      <c r="AA338" s="194"/>
      <c r="AB338" s="194"/>
      <c r="AC338" s="194"/>
      <c r="AD338" s="194"/>
      <c r="AE338" s="194"/>
      <c r="AF338" s="194"/>
      <c r="AG338" s="194"/>
      <c r="AH338" s="194"/>
      <c r="AI338" s="194"/>
      <c r="AJ338" s="194"/>
      <c r="AK338" s="194"/>
      <c r="AL338" s="194"/>
      <c r="AM338" s="194"/>
      <c r="AN338" s="194"/>
      <c r="AO338" s="194"/>
      <c r="AP338" s="194"/>
      <c r="AQ338" s="194"/>
    </row>
    <row r="339" spans="4:43" ht="20.25">
      <c r="D339" s="194"/>
      <c r="E339" s="194"/>
      <c r="F339" s="194"/>
      <c r="G339" s="194"/>
      <c r="H339" s="255"/>
      <c r="I339" s="204"/>
      <c r="J339" s="204"/>
      <c r="K339" s="204"/>
      <c r="L339" s="204"/>
      <c r="M339" s="216"/>
      <c r="N339" s="220"/>
      <c r="O339" s="220"/>
      <c r="P339" s="220"/>
      <c r="Q339" s="220"/>
      <c r="R339" s="220"/>
      <c r="S339" s="194"/>
      <c r="T339" s="194"/>
      <c r="U339" s="194"/>
      <c r="V339" s="194"/>
      <c r="W339" s="194"/>
      <c r="X339" s="194"/>
      <c r="Y339" s="194"/>
      <c r="Z339" s="194"/>
      <c r="AA339" s="194"/>
      <c r="AB339" s="194"/>
      <c r="AC339" s="194"/>
      <c r="AD339" s="194"/>
      <c r="AE339" s="194"/>
      <c r="AF339" s="194"/>
      <c r="AG339" s="194"/>
      <c r="AH339" s="194"/>
      <c r="AI339" s="194"/>
      <c r="AJ339" s="194"/>
      <c r="AK339" s="194"/>
      <c r="AL339" s="194"/>
      <c r="AM339" s="194"/>
      <c r="AN339" s="194"/>
      <c r="AO339" s="194"/>
      <c r="AP339" s="194"/>
      <c r="AQ339" s="194"/>
    </row>
    <row r="340" spans="4:43" ht="20.25">
      <c r="D340" s="194"/>
      <c r="E340" s="194"/>
      <c r="F340" s="194"/>
      <c r="G340" s="194"/>
      <c r="H340" s="255"/>
      <c r="I340" s="204"/>
      <c r="J340" s="204"/>
      <c r="K340" s="204"/>
      <c r="L340" s="204"/>
      <c r="M340" s="216"/>
      <c r="N340" s="220"/>
      <c r="O340" s="220"/>
      <c r="P340" s="220"/>
      <c r="Q340" s="220"/>
      <c r="R340" s="220"/>
      <c r="S340" s="194"/>
      <c r="T340" s="194"/>
      <c r="U340" s="194"/>
      <c r="V340" s="194"/>
      <c r="W340" s="194"/>
      <c r="X340" s="194"/>
      <c r="Y340" s="194"/>
      <c r="Z340" s="194"/>
      <c r="AA340" s="194"/>
      <c r="AB340" s="194"/>
      <c r="AC340" s="194"/>
      <c r="AD340" s="194"/>
      <c r="AE340" s="194"/>
      <c r="AF340" s="194"/>
      <c r="AG340" s="194"/>
      <c r="AH340" s="194"/>
      <c r="AI340" s="194"/>
      <c r="AJ340" s="194"/>
      <c r="AK340" s="194"/>
      <c r="AL340" s="194"/>
      <c r="AM340" s="194"/>
      <c r="AN340" s="194"/>
      <c r="AO340" s="194"/>
      <c r="AP340" s="194"/>
      <c r="AQ340" s="194"/>
    </row>
    <row r="341" spans="4:43" ht="20.25">
      <c r="D341" s="194"/>
      <c r="E341" s="194"/>
      <c r="F341" s="194"/>
      <c r="G341" s="194"/>
      <c r="H341" s="255"/>
      <c r="I341" s="204"/>
      <c r="J341" s="204"/>
      <c r="K341" s="204"/>
      <c r="L341" s="204"/>
      <c r="M341" s="216"/>
      <c r="N341" s="220"/>
      <c r="O341" s="220"/>
      <c r="P341" s="220"/>
      <c r="Q341" s="220"/>
      <c r="R341" s="220"/>
      <c r="S341" s="194"/>
      <c r="T341" s="194"/>
      <c r="U341" s="194"/>
      <c r="V341" s="194"/>
      <c r="W341" s="194"/>
      <c r="X341" s="194"/>
      <c r="Y341" s="194"/>
      <c r="Z341" s="194"/>
      <c r="AA341" s="194"/>
      <c r="AB341" s="194"/>
      <c r="AC341" s="194"/>
      <c r="AD341" s="194"/>
      <c r="AE341" s="194"/>
      <c r="AF341" s="194"/>
      <c r="AG341" s="194"/>
      <c r="AH341" s="194"/>
      <c r="AI341" s="194"/>
      <c r="AJ341" s="194"/>
      <c r="AK341" s="194"/>
      <c r="AL341" s="194"/>
      <c r="AM341" s="194"/>
      <c r="AN341" s="194"/>
      <c r="AO341" s="194"/>
      <c r="AP341" s="194"/>
      <c r="AQ341" s="194"/>
    </row>
    <row r="342" spans="4:43" ht="20.25">
      <c r="D342" s="194"/>
      <c r="E342" s="194"/>
      <c r="F342" s="194"/>
      <c r="G342" s="194"/>
      <c r="H342" s="255"/>
      <c r="I342" s="204"/>
      <c r="J342" s="204"/>
      <c r="K342" s="204"/>
      <c r="L342" s="204"/>
      <c r="M342" s="216"/>
      <c r="N342" s="220"/>
      <c r="O342" s="220"/>
      <c r="P342" s="220"/>
      <c r="Q342" s="220"/>
      <c r="R342" s="220"/>
      <c r="S342" s="194"/>
      <c r="T342" s="194"/>
      <c r="U342" s="194"/>
      <c r="V342" s="194"/>
      <c r="W342" s="194"/>
      <c r="X342" s="194"/>
      <c r="Y342" s="194"/>
      <c r="Z342" s="194"/>
      <c r="AA342" s="194"/>
      <c r="AB342" s="194"/>
      <c r="AC342" s="194"/>
      <c r="AD342" s="194"/>
      <c r="AE342" s="194"/>
      <c r="AF342" s="194"/>
      <c r="AG342" s="194"/>
      <c r="AH342" s="194"/>
      <c r="AI342" s="194"/>
      <c r="AJ342" s="194"/>
      <c r="AK342" s="194"/>
      <c r="AL342" s="194"/>
      <c r="AM342" s="194"/>
      <c r="AN342" s="194"/>
      <c r="AO342" s="194"/>
      <c r="AP342" s="194"/>
      <c r="AQ342" s="194"/>
    </row>
    <row r="343" spans="4:43" ht="20.25">
      <c r="D343" s="194"/>
      <c r="E343" s="194"/>
      <c r="F343" s="194"/>
      <c r="G343" s="194"/>
      <c r="H343" s="255"/>
      <c r="I343" s="204"/>
      <c r="J343" s="204"/>
      <c r="K343" s="204"/>
      <c r="L343" s="204"/>
      <c r="M343" s="216"/>
      <c r="N343" s="220"/>
      <c r="O343" s="220"/>
      <c r="P343" s="220"/>
      <c r="Q343" s="220"/>
      <c r="R343" s="220"/>
      <c r="S343" s="194"/>
      <c r="T343" s="194"/>
      <c r="U343" s="194"/>
      <c r="V343" s="194"/>
      <c r="W343" s="194"/>
      <c r="X343" s="194"/>
      <c r="Y343" s="194"/>
      <c r="Z343" s="194"/>
      <c r="AA343" s="194"/>
      <c r="AB343" s="194"/>
      <c r="AC343" s="194"/>
      <c r="AD343" s="194"/>
      <c r="AE343" s="194"/>
      <c r="AF343" s="194"/>
      <c r="AG343" s="194"/>
      <c r="AH343" s="194"/>
      <c r="AI343" s="194"/>
      <c r="AJ343" s="194"/>
      <c r="AK343" s="194"/>
      <c r="AL343" s="194"/>
      <c r="AM343" s="194"/>
      <c r="AN343" s="194"/>
      <c r="AO343" s="194"/>
      <c r="AP343" s="194"/>
      <c r="AQ343" s="194"/>
    </row>
    <row r="344" spans="4:43" ht="20.25">
      <c r="D344" s="194"/>
      <c r="E344" s="194"/>
      <c r="F344" s="194"/>
      <c r="G344" s="194"/>
      <c r="H344" s="255"/>
      <c r="I344" s="204"/>
      <c r="J344" s="204"/>
      <c r="K344" s="204"/>
      <c r="L344" s="204"/>
      <c r="M344" s="216"/>
      <c r="N344" s="220"/>
      <c r="O344" s="220"/>
      <c r="P344" s="220"/>
      <c r="Q344" s="220"/>
      <c r="R344" s="220"/>
      <c r="S344" s="194"/>
      <c r="T344" s="194"/>
      <c r="U344" s="194"/>
      <c r="V344" s="194"/>
      <c r="W344" s="194"/>
      <c r="X344" s="194"/>
      <c r="Y344" s="194"/>
      <c r="Z344" s="194"/>
      <c r="AA344" s="194"/>
      <c r="AB344" s="194"/>
      <c r="AC344" s="194"/>
      <c r="AD344" s="194"/>
      <c r="AE344" s="194"/>
      <c r="AF344" s="194"/>
      <c r="AG344" s="194"/>
      <c r="AH344" s="194"/>
      <c r="AI344" s="194"/>
      <c r="AJ344" s="194"/>
      <c r="AK344" s="194"/>
      <c r="AL344" s="194"/>
      <c r="AM344" s="194"/>
      <c r="AN344" s="194"/>
      <c r="AO344" s="194"/>
      <c r="AP344" s="194"/>
      <c r="AQ344" s="194"/>
    </row>
    <row r="345" spans="4:43" ht="20.25">
      <c r="D345" s="194"/>
      <c r="E345" s="194"/>
      <c r="F345" s="194"/>
      <c r="G345" s="194"/>
      <c r="H345" s="255"/>
      <c r="I345" s="204"/>
      <c r="J345" s="204"/>
      <c r="K345" s="204"/>
      <c r="L345" s="204"/>
      <c r="M345" s="216"/>
      <c r="N345" s="220"/>
      <c r="O345" s="220"/>
      <c r="P345" s="220"/>
      <c r="Q345" s="220"/>
      <c r="R345" s="220"/>
      <c r="S345" s="194"/>
      <c r="T345" s="194"/>
      <c r="U345" s="194"/>
      <c r="V345" s="194"/>
      <c r="W345" s="194"/>
      <c r="X345" s="194"/>
      <c r="Y345" s="194"/>
      <c r="Z345" s="194"/>
      <c r="AA345" s="194"/>
      <c r="AB345" s="194"/>
      <c r="AC345" s="194"/>
      <c r="AD345" s="194"/>
      <c r="AE345" s="194"/>
      <c r="AF345" s="194"/>
      <c r="AG345" s="194"/>
      <c r="AH345" s="194"/>
      <c r="AI345" s="194"/>
      <c r="AJ345" s="194"/>
      <c r="AK345" s="194"/>
      <c r="AL345" s="194"/>
      <c r="AM345" s="194"/>
      <c r="AN345" s="194"/>
      <c r="AO345" s="194"/>
      <c r="AP345" s="194"/>
      <c r="AQ345" s="194"/>
    </row>
    <row r="346" spans="4:43" ht="20.25">
      <c r="D346" s="194"/>
      <c r="E346" s="194"/>
      <c r="F346" s="194"/>
      <c r="G346" s="194"/>
      <c r="H346" s="255"/>
      <c r="I346" s="204"/>
      <c r="J346" s="204"/>
      <c r="K346" s="204"/>
      <c r="L346" s="204"/>
      <c r="M346" s="216"/>
      <c r="N346" s="220"/>
      <c r="O346" s="220"/>
      <c r="P346" s="220"/>
      <c r="Q346" s="220"/>
      <c r="R346" s="220"/>
      <c r="S346" s="194"/>
      <c r="T346" s="194"/>
      <c r="U346" s="194"/>
      <c r="V346" s="194"/>
      <c r="W346" s="194"/>
      <c r="X346" s="194"/>
      <c r="Y346" s="194"/>
      <c r="Z346" s="194"/>
      <c r="AA346" s="194"/>
      <c r="AB346" s="194"/>
      <c r="AC346" s="194"/>
      <c r="AD346" s="194"/>
      <c r="AE346" s="194"/>
      <c r="AF346" s="194"/>
      <c r="AG346" s="194"/>
      <c r="AH346" s="194"/>
      <c r="AI346" s="194"/>
      <c r="AJ346" s="194"/>
      <c r="AK346" s="194"/>
      <c r="AL346" s="194"/>
      <c r="AM346" s="194"/>
      <c r="AN346" s="194"/>
      <c r="AO346" s="194"/>
      <c r="AP346" s="194"/>
      <c r="AQ346" s="194"/>
    </row>
    <row r="347" spans="4:43" ht="20.25">
      <c r="D347" s="194"/>
      <c r="E347" s="194"/>
      <c r="F347" s="194"/>
      <c r="G347" s="194"/>
      <c r="H347" s="255"/>
      <c r="I347" s="204"/>
      <c r="J347" s="204"/>
      <c r="K347" s="204"/>
      <c r="L347" s="204"/>
      <c r="M347" s="216"/>
      <c r="N347" s="220"/>
      <c r="O347" s="220"/>
      <c r="P347" s="220"/>
      <c r="Q347" s="220"/>
      <c r="R347" s="220"/>
      <c r="S347" s="194"/>
      <c r="T347" s="194"/>
      <c r="U347" s="194"/>
      <c r="V347" s="194"/>
      <c r="W347" s="194"/>
      <c r="X347" s="194"/>
      <c r="Y347" s="194"/>
      <c r="Z347" s="194"/>
      <c r="AA347" s="194"/>
      <c r="AB347" s="194"/>
      <c r="AC347" s="194"/>
      <c r="AD347" s="194"/>
      <c r="AE347" s="194"/>
      <c r="AF347" s="194"/>
      <c r="AG347" s="194"/>
      <c r="AH347" s="194"/>
      <c r="AI347" s="194"/>
      <c r="AJ347" s="194"/>
      <c r="AK347" s="194"/>
      <c r="AL347" s="194"/>
      <c r="AM347" s="194"/>
      <c r="AN347" s="194"/>
      <c r="AO347" s="194"/>
      <c r="AP347" s="194"/>
      <c r="AQ347" s="194"/>
    </row>
    <row r="348" spans="4:43" ht="20.25">
      <c r="D348" s="194"/>
      <c r="E348" s="194"/>
      <c r="F348" s="194"/>
      <c r="G348" s="194"/>
      <c r="H348" s="255"/>
      <c r="I348" s="204"/>
      <c r="J348" s="204"/>
      <c r="K348" s="204"/>
      <c r="L348" s="204"/>
      <c r="M348" s="216"/>
      <c r="N348" s="220"/>
      <c r="O348" s="220"/>
      <c r="P348" s="220"/>
      <c r="Q348" s="220"/>
      <c r="R348" s="220"/>
      <c r="S348" s="194"/>
      <c r="T348" s="194"/>
      <c r="U348" s="194"/>
      <c r="V348" s="194"/>
      <c r="W348" s="194"/>
      <c r="X348" s="194"/>
      <c r="Y348" s="194"/>
      <c r="Z348" s="194"/>
      <c r="AA348" s="194"/>
      <c r="AB348" s="194"/>
      <c r="AC348" s="194"/>
      <c r="AD348" s="194"/>
      <c r="AE348" s="194"/>
      <c r="AF348" s="194"/>
      <c r="AG348" s="194"/>
      <c r="AH348" s="194"/>
      <c r="AI348" s="194"/>
      <c r="AJ348" s="194"/>
      <c r="AK348" s="194"/>
      <c r="AL348" s="194"/>
      <c r="AM348" s="194"/>
      <c r="AN348" s="194"/>
      <c r="AO348" s="194"/>
      <c r="AP348" s="194"/>
      <c r="AQ348" s="194"/>
    </row>
    <row r="349" spans="4:43" ht="20.25">
      <c r="D349" s="194"/>
      <c r="E349" s="194"/>
      <c r="F349" s="194"/>
      <c r="G349" s="194"/>
      <c r="H349" s="255"/>
      <c r="I349" s="204"/>
      <c r="J349" s="204"/>
      <c r="K349" s="204"/>
      <c r="L349" s="204"/>
      <c r="M349" s="216"/>
      <c r="N349" s="220"/>
      <c r="O349" s="220"/>
      <c r="P349" s="220"/>
      <c r="Q349" s="220"/>
      <c r="R349" s="220"/>
      <c r="S349" s="194"/>
      <c r="T349" s="194"/>
      <c r="U349" s="194"/>
      <c r="V349" s="194"/>
      <c r="W349" s="194"/>
      <c r="X349" s="194"/>
      <c r="Y349" s="194"/>
      <c r="Z349" s="194"/>
      <c r="AA349" s="194"/>
      <c r="AB349" s="194"/>
      <c r="AC349" s="194"/>
      <c r="AD349" s="194"/>
      <c r="AE349" s="194"/>
      <c r="AF349" s="194"/>
      <c r="AG349" s="194"/>
      <c r="AH349" s="194"/>
      <c r="AI349" s="194"/>
      <c r="AJ349" s="194"/>
      <c r="AK349" s="194"/>
      <c r="AL349" s="194"/>
      <c r="AM349" s="194"/>
      <c r="AN349" s="194"/>
      <c r="AO349" s="194"/>
      <c r="AP349" s="194"/>
      <c r="AQ349" s="194"/>
    </row>
    <row r="350" spans="4:43" ht="20.25">
      <c r="D350" s="194"/>
      <c r="E350" s="194"/>
      <c r="F350" s="194"/>
      <c r="G350" s="194"/>
      <c r="H350" s="255"/>
      <c r="I350" s="204"/>
      <c r="J350" s="204"/>
      <c r="K350" s="204"/>
      <c r="L350" s="204"/>
      <c r="M350" s="216"/>
      <c r="N350" s="220"/>
      <c r="O350" s="220"/>
      <c r="P350" s="220"/>
      <c r="Q350" s="220"/>
      <c r="R350" s="220"/>
      <c r="S350" s="194"/>
      <c r="T350" s="194"/>
      <c r="U350" s="194"/>
      <c r="V350" s="194"/>
      <c r="W350" s="194"/>
      <c r="X350" s="194"/>
      <c r="Y350" s="194"/>
      <c r="Z350" s="194"/>
      <c r="AA350" s="194"/>
      <c r="AB350" s="194"/>
      <c r="AC350" s="194"/>
      <c r="AD350" s="194"/>
      <c r="AE350" s="194"/>
      <c r="AF350" s="194"/>
      <c r="AG350" s="194"/>
      <c r="AH350" s="194"/>
      <c r="AI350" s="194"/>
      <c r="AJ350" s="194"/>
      <c r="AK350" s="194"/>
      <c r="AL350" s="194"/>
      <c r="AM350" s="194"/>
      <c r="AN350" s="194"/>
      <c r="AO350" s="194"/>
      <c r="AP350" s="194"/>
      <c r="AQ350" s="194"/>
    </row>
    <row r="351" spans="4:43" ht="20.25">
      <c r="D351" s="194"/>
      <c r="E351" s="194"/>
      <c r="F351" s="194"/>
      <c r="G351" s="194"/>
      <c r="H351" s="255"/>
      <c r="I351" s="204"/>
      <c r="J351" s="204"/>
      <c r="K351" s="204"/>
      <c r="L351" s="204"/>
      <c r="M351" s="216"/>
      <c r="N351" s="220"/>
      <c r="O351" s="220"/>
      <c r="P351" s="220"/>
      <c r="Q351" s="220"/>
      <c r="R351" s="220"/>
      <c r="S351" s="194"/>
      <c r="T351" s="194"/>
      <c r="U351" s="194"/>
      <c r="V351" s="194"/>
      <c r="W351" s="194"/>
      <c r="X351" s="194"/>
      <c r="Y351" s="194"/>
      <c r="Z351" s="194"/>
      <c r="AA351" s="194"/>
      <c r="AB351" s="194"/>
      <c r="AC351" s="194"/>
      <c r="AD351" s="194"/>
      <c r="AE351" s="194"/>
      <c r="AF351" s="194"/>
      <c r="AG351" s="194"/>
      <c r="AH351" s="194"/>
      <c r="AI351" s="194"/>
      <c r="AJ351" s="194"/>
      <c r="AK351" s="194"/>
      <c r="AL351" s="194"/>
      <c r="AM351" s="194"/>
      <c r="AN351" s="194"/>
      <c r="AO351" s="194"/>
      <c r="AP351" s="194"/>
      <c r="AQ351" s="194"/>
    </row>
    <row r="352" spans="4:43" ht="20.25">
      <c r="D352" s="194"/>
      <c r="E352" s="194"/>
      <c r="F352" s="194"/>
      <c r="G352" s="194"/>
      <c r="H352" s="255"/>
      <c r="I352" s="204"/>
      <c r="J352" s="204"/>
      <c r="K352" s="204"/>
      <c r="L352" s="204"/>
      <c r="M352" s="216"/>
      <c r="N352" s="220"/>
      <c r="O352" s="220"/>
      <c r="P352" s="220"/>
      <c r="Q352" s="220"/>
      <c r="R352" s="220"/>
      <c r="S352" s="194"/>
      <c r="T352" s="194"/>
      <c r="U352" s="194"/>
      <c r="V352" s="194"/>
      <c r="W352" s="194"/>
      <c r="X352" s="194"/>
      <c r="Y352" s="194"/>
      <c r="Z352" s="194"/>
      <c r="AA352" s="194"/>
      <c r="AB352" s="194"/>
      <c r="AC352" s="194"/>
      <c r="AD352" s="194"/>
      <c r="AE352" s="194"/>
      <c r="AF352" s="194"/>
      <c r="AG352" s="194"/>
      <c r="AH352" s="194"/>
      <c r="AI352" s="194"/>
      <c r="AJ352" s="194"/>
      <c r="AK352" s="194"/>
      <c r="AL352" s="194"/>
      <c r="AM352" s="194"/>
      <c r="AN352" s="194"/>
      <c r="AO352" s="194"/>
      <c r="AP352" s="194"/>
      <c r="AQ352" s="194"/>
    </row>
    <row r="353" spans="4:43" ht="20.25">
      <c r="D353" s="194"/>
      <c r="E353" s="194"/>
      <c r="F353" s="194"/>
      <c r="G353" s="194"/>
      <c r="H353" s="255"/>
      <c r="I353" s="204"/>
      <c r="J353" s="204"/>
      <c r="K353" s="204"/>
      <c r="L353" s="204"/>
      <c r="M353" s="216"/>
      <c r="N353" s="220"/>
      <c r="O353" s="220"/>
      <c r="P353" s="220"/>
      <c r="Q353" s="220"/>
      <c r="R353" s="220"/>
      <c r="S353" s="194"/>
      <c r="T353" s="194"/>
      <c r="U353" s="194"/>
      <c r="V353" s="194"/>
      <c r="W353" s="194"/>
      <c r="X353" s="194"/>
      <c r="Y353" s="194"/>
      <c r="Z353" s="194"/>
      <c r="AA353" s="194"/>
      <c r="AB353" s="194"/>
      <c r="AC353" s="194"/>
      <c r="AD353" s="194"/>
      <c r="AE353" s="194"/>
      <c r="AF353" s="194"/>
      <c r="AG353" s="194"/>
      <c r="AH353" s="194"/>
      <c r="AI353" s="194"/>
      <c r="AJ353" s="194"/>
      <c r="AK353" s="194"/>
      <c r="AL353" s="194"/>
      <c r="AM353" s="194"/>
      <c r="AN353" s="194"/>
      <c r="AO353" s="194"/>
      <c r="AP353" s="194"/>
      <c r="AQ353" s="194"/>
    </row>
    <row r="354" spans="4:43" ht="20.25">
      <c r="D354" s="194"/>
      <c r="E354" s="194"/>
      <c r="F354" s="194"/>
      <c r="G354" s="194"/>
      <c r="H354" s="255"/>
      <c r="I354" s="204"/>
      <c r="J354" s="204"/>
      <c r="K354" s="204"/>
      <c r="L354" s="204"/>
      <c r="M354" s="216"/>
      <c r="N354" s="220"/>
      <c r="O354" s="220"/>
      <c r="P354" s="220"/>
      <c r="Q354" s="220"/>
      <c r="R354" s="220"/>
      <c r="S354" s="194"/>
      <c r="T354" s="194"/>
      <c r="U354" s="194"/>
      <c r="V354" s="194"/>
      <c r="W354" s="194"/>
      <c r="X354" s="194"/>
      <c r="Y354" s="194"/>
      <c r="Z354" s="194"/>
      <c r="AA354" s="194"/>
      <c r="AB354" s="194"/>
      <c r="AC354" s="194"/>
      <c r="AD354" s="194"/>
      <c r="AE354" s="194"/>
      <c r="AF354" s="194"/>
      <c r="AG354" s="194"/>
      <c r="AH354" s="194"/>
      <c r="AI354" s="194"/>
      <c r="AJ354" s="194"/>
      <c r="AK354" s="194"/>
      <c r="AL354" s="194"/>
      <c r="AM354" s="194"/>
      <c r="AN354" s="194"/>
      <c r="AO354" s="194"/>
      <c r="AP354" s="194"/>
      <c r="AQ354" s="194"/>
    </row>
    <row r="355" spans="4:43" ht="20.25">
      <c r="D355" s="194"/>
      <c r="E355" s="194"/>
      <c r="F355" s="194"/>
      <c r="G355" s="194"/>
      <c r="H355" s="255"/>
      <c r="I355" s="204"/>
      <c r="J355" s="204"/>
      <c r="K355" s="204"/>
      <c r="L355" s="204"/>
      <c r="M355" s="216"/>
      <c r="N355" s="220"/>
      <c r="O355" s="220"/>
      <c r="P355" s="220"/>
      <c r="Q355" s="220"/>
      <c r="R355" s="220"/>
      <c r="S355" s="194"/>
      <c r="T355" s="194"/>
      <c r="U355" s="194"/>
      <c r="V355" s="194"/>
      <c r="W355" s="194"/>
      <c r="X355" s="194"/>
      <c r="Y355" s="194"/>
      <c r="Z355" s="194"/>
      <c r="AA355" s="194"/>
      <c r="AB355" s="194"/>
      <c r="AC355" s="194"/>
      <c r="AD355" s="194"/>
      <c r="AE355" s="194"/>
      <c r="AF355" s="194"/>
      <c r="AG355" s="194"/>
      <c r="AH355" s="194"/>
      <c r="AI355" s="194"/>
      <c r="AJ355" s="194"/>
      <c r="AK355" s="194"/>
      <c r="AL355" s="194"/>
      <c r="AM355" s="194"/>
      <c r="AN355" s="194"/>
      <c r="AO355" s="194"/>
      <c r="AP355" s="194"/>
      <c r="AQ355" s="194"/>
    </row>
    <row r="356" spans="4:43" ht="20.25">
      <c r="D356" s="194"/>
      <c r="E356" s="194"/>
      <c r="F356" s="194"/>
      <c r="G356" s="194"/>
      <c r="H356" s="255"/>
      <c r="I356" s="204"/>
      <c r="J356" s="204"/>
      <c r="K356" s="204"/>
      <c r="L356" s="204"/>
      <c r="M356" s="216"/>
      <c r="N356" s="220"/>
      <c r="O356" s="220"/>
      <c r="P356" s="220"/>
      <c r="Q356" s="220"/>
      <c r="R356" s="220"/>
      <c r="S356" s="194"/>
      <c r="T356" s="194"/>
      <c r="U356" s="194"/>
      <c r="V356" s="194"/>
      <c r="W356" s="194"/>
      <c r="X356" s="194"/>
      <c r="Y356" s="194"/>
      <c r="Z356" s="194"/>
      <c r="AA356" s="194"/>
      <c r="AB356" s="194"/>
      <c r="AC356" s="194"/>
      <c r="AD356" s="194"/>
      <c r="AE356" s="194"/>
      <c r="AF356" s="194"/>
      <c r="AG356" s="194"/>
      <c r="AH356" s="194"/>
      <c r="AI356" s="194"/>
      <c r="AJ356" s="194"/>
      <c r="AK356" s="194"/>
      <c r="AL356" s="194"/>
      <c r="AM356" s="194"/>
      <c r="AN356" s="194"/>
      <c r="AO356" s="194"/>
      <c r="AP356" s="194"/>
      <c r="AQ356" s="194"/>
    </row>
    <row r="357" spans="4:43" ht="20.25">
      <c r="D357" s="194"/>
      <c r="E357" s="194"/>
      <c r="F357" s="194"/>
      <c r="G357" s="194"/>
      <c r="H357" s="255"/>
      <c r="I357" s="204"/>
      <c r="J357" s="204"/>
      <c r="K357" s="204"/>
      <c r="L357" s="204"/>
      <c r="M357" s="216"/>
      <c r="N357" s="220"/>
      <c r="O357" s="220"/>
      <c r="P357" s="220"/>
      <c r="Q357" s="220"/>
      <c r="R357" s="220"/>
      <c r="S357" s="194"/>
      <c r="T357" s="194"/>
      <c r="U357" s="194"/>
      <c r="V357" s="194"/>
      <c r="W357" s="194"/>
      <c r="X357" s="194"/>
      <c r="Y357" s="194"/>
      <c r="Z357" s="194"/>
      <c r="AA357" s="194"/>
      <c r="AB357" s="194"/>
      <c r="AC357" s="194"/>
      <c r="AD357" s="194"/>
      <c r="AE357" s="194"/>
      <c r="AF357" s="194"/>
      <c r="AG357" s="194"/>
      <c r="AH357" s="194"/>
      <c r="AI357" s="194"/>
      <c r="AJ357" s="194"/>
      <c r="AK357" s="194"/>
      <c r="AL357" s="194"/>
      <c r="AM357" s="194"/>
      <c r="AN357" s="194"/>
      <c r="AO357" s="194"/>
      <c r="AP357" s="194"/>
      <c r="AQ357" s="194"/>
    </row>
    <row r="358" spans="4:43" ht="20.25">
      <c r="D358" s="194"/>
      <c r="E358" s="194"/>
      <c r="F358" s="194"/>
      <c r="G358" s="194"/>
      <c r="H358" s="255"/>
      <c r="I358" s="204"/>
      <c r="J358" s="204"/>
      <c r="K358" s="204"/>
      <c r="L358" s="204"/>
      <c r="M358" s="216"/>
      <c r="N358" s="220"/>
      <c r="O358" s="220"/>
      <c r="P358" s="220"/>
      <c r="Q358" s="220"/>
      <c r="R358" s="220"/>
      <c r="S358" s="194"/>
      <c r="T358" s="194"/>
      <c r="U358" s="194"/>
      <c r="V358" s="194"/>
      <c r="W358" s="194"/>
      <c r="X358" s="194"/>
      <c r="Y358" s="194"/>
      <c r="Z358" s="194"/>
      <c r="AA358" s="194"/>
      <c r="AB358" s="194"/>
      <c r="AC358" s="194"/>
      <c r="AD358" s="194"/>
      <c r="AE358" s="194"/>
      <c r="AF358" s="194"/>
      <c r="AG358" s="194"/>
      <c r="AH358" s="194"/>
      <c r="AI358" s="194"/>
      <c r="AJ358" s="194"/>
      <c r="AK358" s="194"/>
      <c r="AL358" s="194"/>
      <c r="AM358" s="194"/>
      <c r="AN358" s="194"/>
      <c r="AO358" s="194"/>
      <c r="AP358" s="194"/>
      <c r="AQ358" s="194"/>
    </row>
    <row r="359" spans="4:43" ht="20.25">
      <c r="D359" s="194"/>
      <c r="E359" s="194"/>
      <c r="F359" s="194"/>
      <c r="G359" s="194"/>
      <c r="H359" s="255"/>
      <c r="I359" s="204"/>
      <c r="J359" s="204"/>
      <c r="K359" s="204"/>
      <c r="L359" s="204"/>
      <c r="M359" s="216"/>
      <c r="N359" s="220"/>
      <c r="O359" s="220"/>
      <c r="P359" s="220"/>
      <c r="Q359" s="220"/>
      <c r="R359" s="220"/>
      <c r="S359" s="194"/>
      <c r="T359" s="194"/>
      <c r="U359" s="194"/>
      <c r="V359" s="194"/>
      <c r="W359" s="194"/>
      <c r="X359" s="194"/>
      <c r="Y359" s="194"/>
      <c r="Z359" s="194"/>
      <c r="AA359" s="194"/>
      <c r="AB359" s="194"/>
      <c r="AC359" s="194"/>
      <c r="AD359" s="194"/>
      <c r="AE359" s="194"/>
      <c r="AF359" s="194"/>
      <c r="AG359" s="194"/>
      <c r="AH359" s="194"/>
      <c r="AI359" s="194"/>
      <c r="AJ359" s="194"/>
      <c r="AK359" s="194"/>
      <c r="AL359" s="194"/>
      <c r="AM359" s="194"/>
      <c r="AN359" s="194"/>
      <c r="AO359" s="194"/>
      <c r="AP359" s="194"/>
      <c r="AQ359" s="194"/>
    </row>
    <row r="360" spans="4:43" ht="20.25">
      <c r="D360" s="194"/>
      <c r="E360" s="194"/>
      <c r="F360" s="194"/>
      <c r="G360" s="194"/>
      <c r="H360" s="255"/>
      <c r="I360" s="204"/>
      <c r="J360" s="204"/>
      <c r="K360" s="204"/>
      <c r="L360" s="204"/>
      <c r="M360" s="216"/>
      <c r="N360" s="220"/>
      <c r="O360" s="220"/>
      <c r="P360" s="220"/>
      <c r="Q360" s="220"/>
      <c r="R360" s="220"/>
      <c r="S360" s="194"/>
      <c r="T360" s="194"/>
      <c r="U360" s="194"/>
      <c r="V360" s="194"/>
      <c r="W360" s="194"/>
      <c r="X360" s="194"/>
      <c r="Y360" s="194"/>
      <c r="Z360" s="194"/>
      <c r="AA360" s="194"/>
      <c r="AB360" s="194"/>
      <c r="AC360" s="194"/>
      <c r="AD360" s="194"/>
      <c r="AE360" s="194"/>
      <c r="AF360" s="194"/>
      <c r="AG360" s="194"/>
      <c r="AH360" s="194"/>
      <c r="AI360" s="194"/>
      <c r="AJ360" s="194"/>
      <c r="AK360" s="194"/>
      <c r="AL360" s="194"/>
      <c r="AM360" s="194"/>
      <c r="AN360" s="194"/>
      <c r="AO360" s="194"/>
      <c r="AP360" s="194"/>
      <c r="AQ360" s="194"/>
    </row>
    <row r="361" spans="4:43" ht="20.25">
      <c r="D361" s="194"/>
      <c r="E361" s="194"/>
      <c r="F361" s="194"/>
      <c r="G361" s="194"/>
      <c r="H361" s="255"/>
      <c r="I361" s="204"/>
      <c r="J361" s="204"/>
      <c r="K361" s="204"/>
      <c r="L361" s="204"/>
      <c r="M361" s="216"/>
      <c r="N361" s="220"/>
      <c r="O361" s="220"/>
      <c r="P361" s="220"/>
      <c r="Q361" s="220"/>
      <c r="R361" s="220"/>
      <c r="S361" s="194"/>
      <c r="T361" s="194"/>
      <c r="U361" s="194"/>
      <c r="V361" s="194"/>
      <c r="W361" s="194"/>
      <c r="X361" s="194"/>
      <c r="Y361" s="194"/>
      <c r="Z361" s="194"/>
      <c r="AA361" s="194"/>
      <c r="AB361" s="194"/>
      <c r="AC361" s="194"/>
      <c r="AD361" s="194"/>
      <c r="AE361" s="194"/>
      <c r="AF361" s="194"/>
      <c r="AG361" s="194"/>
      <c r="AH361" s="194"/>
      <c r="AI361" s="194"/>
      <c r="AJ361" s="194"/>
      <c r="AK361" s="194"/>
      <c r="AL361" s="194"/>
      <c r="AM361" s="194"/>
      <c r="AN361" s="194"/>
      <c r="AO361" s="194"/>
      <c r="AP361" s="194"/>
      <c r="AQ361" s="194"/>
    </row>
    <row r="362" spans="4:43" ht="20.25">
      <c r="D362" s="194"/>
      <c r="E362" s="194"/>
      <c r="F362" s="194"/>
      <c r="G362" s="194"/>
      <c r="H362" s="255"/>
      <c r="I362" s="204"/>
      <c r="J362" s="204"/>
      <c r="K362" s="204"/>
      <c r="L362" s="204"/>
      <c r="M362" s="216"/>
      <c r="N362" s="220"/>
      <c r="O362" s="220"/>
      <c r="P362" s="220"/>
      <c r="Q362" s="220"/>
      <c r="R362" s="220"/>
      <c r="S362" s="194"/>
      <c r="T362" s="194"/>
      <c r="U362" s="194"/>
      <c r="V362" s="194"/>
      <c r="W362" s="194"/>
      <c r="X362" s="194"/>
      <c r="Y362" s="194"/>
      <c r="Z362" s="194"/>
      <c r="AA362" s="194"/>
      <c r="AB362" s="194"/>
      <c r="AC362" s="194"/>
      <c r="AD362" s="194"/>
      <c r="AE362" s="194"/>
      <c r="AF362" s="194"/>
      <c r="AG362" s="194"/>
      <c r="AH362" s="194"/>
      <c r="AI362" s="194"/>
      <c r="AJ362" s="194"/>
      <c r="AK362" s="194"/>
      <c r="AL362" s="194"/>
      <c r="AM362" s="194"/>
      <c r="AN362" s="194"/>
      <c r="AO362" s="194"/>
      <c r="AP362" s="194"/>
      <c r="AQ362" s="194"/>
    </row>
    <row r="363" spans="4:43" ht="20.25">
      <c r="D363" s="194"/>
      <c r="E363" s="194"/>
      <c r="F363" s="194"/>
      <c r="G363" s="194"/>
      <c r="H363" s="255"/>
      <c r="I363" s="204"/>
      <c r="J363" s="204"/>
      <c r="K363" s="204"/>
      <c r="L363" s="204"/>
      <c r="M363" s="216"/>
      <c r="N363" s="220"/>
      <c r="O363" s="220"/>
      <c r="P363" s="220"/>
      <c r="Q363" s="220"/>
      <c r="R363" s="220"/>
      <c r="S363" s="194"/>
      <c r="T363" s="194"/>
      <c r="U363" s="194"/>
      <c r="V363" s="194"/>
      <c r="W363" s="194"/>
      <c r="X363" s="194"/>
      <c r="Y363" s="194"/>
      <c r="Z363" s="194"/>
      <c r="AA363" s="194"/>
      <c r="AB363" s="194"/>
      <c r="AC363" s="194"/>
      <c r="AD363" s="194"/>
      <c r="AE363" s="194"/>
      <c r="AF363" s="194"/>
      <c r="AG363" s="194"/>
      <c r="AH363" s="194"/>
      <c r="AI363" s="194"/>
      <c r="AJ363" s="194"/>
      <c r="AK363" s="194"/>
      <c r="AL363" s="194"/>
      <c r="AM363" s="194"/>
      <c r="AN363" s="194"/>
      <c r="AO363" s="194"/>
      <c r="AP363" s="194"/>
      <c r="AQ363" s="194"/>
    </row>
    <row r="364" spans="4:43" ht="20.25">
      <c r="D364" s="194"/>
      <c r="E364" s="194"/>
      <c r="F364" s="194"/>
      <c r="G364" s="194"/>
      <c r="H364" s="255"/>
      <c r="I364" s="204"/>
      <c r="J364" s="204"/>
      <c r="K364" s="204"/>
      <c r="L364" s="204"/>
      <c r="M364" s="216"/>
      <c r="N364" s="220"/>
      <c r="O364" s="220"/>
      <c r="P364" s="220"/>
      <c r="Q364" s="220"/>
      <c r="R364" s="220"/>
      <c r="S364" s="194"/>
      <c r="T364" s="194"/>
      <c r="U364" s="194"/>
      <c r="V364" s="194"/>
      <c r="W364" s="194"/>
      <c r="X364" s="194"/>
      <c r="Y364" s="194"/>
      <c r="Z364" s="194"/>
      <c r="AA364" s="194"/>
      <c r="AB364" s="194"/>
      <c r="AC364" s="194"/>
      <c r="AD364" s="194"/>
      <c r="AE364" s="194"/>
      <c r="AF364" s="194"/>
      <c r="AG364" s="194"/>
      <c r="AH364" s="194"/>
      <c r="AI364" s="194"/>
      <c r="AJ364" s="194"/>
      <c r="AK364" s="194"/>
      <c r="AL364" s="194"/>
      <c r="AM364" s="194"/>
      <c r="AN364" s="194"/>
      <c r="AO364" s="194"/>
      <c r="AP364" s="194"/>
      <c r="AQ364" s="194"/>
    </row>
    <row r="365" spans="4:43" ht="20.25">
      <c r="D365" s="194"/>
      <c r="E365" s="194"/>
      <c r="F365" s="194"/>
      <c r="G365" s="194"/>
      <c r="H365" s="255"/>
      <c r="I365" s="204"/>
      <c r="J365" s="204"/>
      <c r="K365" s="204"/>
      <c r="L365" s="204"/>
      <c r="M365" s="216"/>
      <c r="N365" s="220"/>
      <c r="O365" s="220"/>
      <c r="P365" s="220"/>
      <c r="Q365" s="220"/>
      <c r="R365" s="220"/>
      <c r="S365" s="194"/>
      <c r="T365" s="194"/>
      <c r="U365" s="194"/>
      <c r="V365" s="194"/>
      <c r="W365" s="194"/>
      <c r="X365" s="194"/>
      <c r="Y365" s="194"/>
      <c r="Z365" s="194"/>
      <c r="AA365" s="194"/>
      <c r="AB365" s="194"/>
      <c r="AC365" s="194"/>
      <c r="AD365" s="194"/>
      <c r="AE365" s="194"/>
      <c r="AF365" s="194"/>
      <c r="AG365" s="194"/>
      <c r="AH365" s="194"/>
      <c r="AI365" s="194"/>
      <c r="AJ365" s="194"/>
      <c r="AK365" s="194"/>
      <c r="AL365" s="194"/>
      <c r="AM365" s="194"/>
      <c r="AN365" s="194"/>
      <c r="AO365" s="194"/>
      <c r="AP365" s="194"/>
      <c r="AQ365" s="194"/>
    </row>
    <row r="366" spans="4:43" ht="20.25">
      <c r="D366" s="194"/>
      <c r="E366" s="194"/>
      <c r="F366" s="194"/>
      <c r="G366" s="194"/>
      <c r="H366" s="255"/>
      <c r="I366" s="204"/>
      <c r="J366" s="204"/>
      <c r="K366" s="204"/>
      <c r="L366" s="204"/>
      <c r="M366" s="216"/>
      <c r="N366" s="220"/>
      <c r="O366" s="220"/>
      <c r="P366" s="220"/>
      <c r="Q366" s="220"/>
      <c r="R366" s="220"/>
      <c r="S366" s="194"/>
      <c r="T366" s="194"/>
      <c r="U366" s="194"/>
      <c r="V366" s="194"/>
      <c r="W366" s="194"/>
      <c r="X366" s="194"/>
      <c r="Y366" s="194"/>
      <c r="Z366" s="194"/>
      <c r="AA366" s="194"/>
      <c r="AB366" s="194"/>
      <c r="AC366" s="194"/>
      <c r="AD366" s="194"/>
      <c r="AE366" s="194"/>
      <c r="AF366" s="194"/>
      <c r="AG366" s="194"/>
      <c r="AH366" s="194"/>
      <c r="AI366" s="194"/>
      <c r="AJ366" s="194"/>
      <c r="AK366" s="194"/>
      <c r="AL366" s="194"/>
      <c r="AM366" s="194"/>
      <c r="AN366" s="194"/>
      <c r="AO366" s="194"/>
      <c r="AP366" s="194"/>
      <c r="AQ366" s="194"/>
    </row>
    <row r="367" spans="4:43" ht="20.25">
      <c r="D367" s="194"/>
      <c r="E367" s="194"/>
      <c r="F367" s="194"/>
      <c r="G367" s="194"/>
      <c r="H367" s="255"/>
      <c r="I367" s="204"/>
      <c r="J367" s="204"/>
      <c r="K367" s="204"/>
      <c r="L367" s="204"/>
      <c r="M367" s="216"/>
      <c r="N367" s="220"/>
      <c r="O367" s="220"/>
      <c r="P367" s="220"/>
      <c r="Q367" s="220"/>
      <c r="R367" s="220"/>
      <c r="S367" s="194"/>
      <c r="T367" s="194"/>
      <c r="U367" s="194"/>
      <c r="V367" s="194"/>
      <c r="W367" s="194"/>
      <c r="X367" s="194"/>
      <c r="Y367" s="194"/>
      <c r="Z367" s="194"/>
      <c r="AA367" s="194"/>
      <c r="AB367" s="194"/>
      <c r="AC367" s="194"/>
      <c r="AD367" s="194"/>
      <c r="AE367" s="194"/>
      <c r="AF367" s="194"/>
      <c r="AG367" s="194"/>
      <c r="AH367" s="194"/>
      <c r="AI367" s="194"/>
      <c r="AJ367" s="194"/>
      <c r="AK367" s="194"/>
      <c r="AL367" s="194"/>
      <c r="AM367" s="194"/>
      <c r="AN367" s="194"/>
      <c r="AO367" s="194"/>
      <c r="AP367" s="194"/>
      <c r="AQ367" s="194"/>
    </row>
    <row r="368" spans="4:43" ht="20.25">
      <c r="D368" s="194"/>
      <c r="E368" s="194"/>
      <c r="F368" s="194"/>
      <c r="G368" s="194"/>
      <c r="H368" s="255"/>
      <c r="I368" s="204"/>
      <c r="J368" s="204"/>
      <c r="K368" s="204"/>
      <c r="L368" s="204"/>
      <c r="M368" s="216"/>
      <c r="N368" s="220"/>
      <c r="O368" s="220"/>
      <c r="P368" s="220"/>
      <c r="Q368" s="220"/>
      <c r="R368" s="220"/>
      <c r="S368" s="194"/>
      <c r="T368" s="194"/>
      <c r="U368" s="194"/>
      <c r="V368" s="194"/>
      <c r="W368" s="194"/>
      <c r="X368" s="194"/>
      <c r="Y368" s="194"/>
      <c r="Z368" s="194"/>
      <c r="AA368" s="194"/>
      <c r="AB368" s="194"/>
      <c r="AC368" s="194"/>
      <c r="AD368" s="194"/>
      <c r="AE368" s="194"/>
      <c r="AF368" s="194"/>
      <c r="AG368" s="194"/>
      <c r="AH368" s="194"/>
      <c r="AI368" s="194"/>
      <c r="AJ368" s="194"/>
      <c r="AK368" s="194"/>
      <c r="AL368" s="194"/>
      <c r="AM368" s="194"/>
      <c r="AN368" s="194"/>
      <c r="AO368" s="194"/>
      <c r="AP368" s="194"/>
      <c r="AQ368" s="194"/>
    </row>
    <row r="369" spans="4:43" ht="20.25">
      <c r="D369" s="194"/>
      <c r="E369" s="194"/>
      <c r="F369" s="194"/>
      <c r="G369" s="194"/>
      <c r="H369" s="255"/>
      <c r="I369" s="204"/>
      <c r="J369" s="204"/>
      <c r="K369" s="204"/>
      <c r="L369" s="204"/>
      <c r="M369" s="216"/>
      <c r="N369" s="220"/>
      <c r="O369" s="220"/>
      <c r="P369" s="220"/>
      <c r="Q369" s="220"/>
      <c r="R369" s="220"/>
      <c r="S369" s="194"/>
      <c r="T369" s="194"/>
      <c r="U369" s="194"/>
      <c r="V369" s="194"/>
      <c r="W369" s="194"/>
      <c r="X369" s="194"/>
      <c r="Y369" s="194"/>
      <c r="Z369" s="194"/>
      <c r="AA369" s="194"/>
      <c r="AB369" s="194"/>
      <c r="AC369" s="194"/>
      <c r="AD369" s="194"/>
      <c r="AE369" s="194"/>
      <c r="AF369" s="194"/>
      <c r="AG369" s="194"/>
      <c r="AH369" s="194"/>
      <c r="AI369" s="194"/>
      <c r="AJ369" s="194"/>
      <c r="AK369" s="194"/>
      <c r="AL369" s="194"/>
      <c r="AM369" s="194"/>
      <c r="AN369" s="194"/>
      <c r="AO369" s="194"/>
      <c r="AP369" s="194"/>
      <c r="AQ369" s="194"/>
    </row>
    <row r="370" spans="4:43" ht="20.25">
      <c r="D370" s="194"/>
      <c r="E370" s="194"/>
      <c r="F370" s="194"/>
      <c r="G370" s="194"/>
      <c r="H370" s="255"/>
      <c r="I370" s="204"/>
      <c r="J370" s="204"/>
      <c r="K370" s="204"/>
      <c r="L370" s="204"/>
      <c r="M370" s="216"/>
      <c r="N370" s="220"/>
      <c r="O370" s="220"/>
      <c r="P370" s="220"/>
      <c r="Q370" s="220"/>
      <c r="R370" s="220"/>
      <c r="S370" s="194"/>
      <c r="T370" s="194"/>
      <c r="U370" s="194"/>
      <c r="V370" s="194"/>
      <c r="W370" s="194"/>
      <c r="X370" s="194"/>
      <c r="Y370" s="194"/>
      <c r="Z370" s="194"/>
      <c r="AA370" s="194"/>
      <c r="AB370" s="194"/>
      <c r="AC370" s="194"/>
      <c r="AD370" s="194"/>
      <c r="AE370" s="194"/>
      <c r="AF370" s="194"/>
      <c r="AG370" s="194"/>
      <c r="AH370" s="194"/>
      <c r="AI370" s="194"/>
      <c r="AJ370" s="194"/>
      <c r="AK370" s="194"/>
      <c r="AL370" s="194"/>
      <c r="AM370" s="194"/>
      <c r="AN370" s="194"/>
      <c r="AO370" s="194"/>
      <c r="AP370" s="194"/>
      <c r="AQ370" s="194"/>
    </row>
    <row r="371" spans="4:43" ht="20.25">
      <c r="D371" s="194"/>
      <c r="E371" s="194"/>
      <c r="F371" s="194"/>
      <c r="G371" s="194"/>
      <c r="H371" s="255"/>
      <c r="I371" s="204"/>
      <c r="J371" s="204"/>
      <c r="K371" s="204"/>
      <c r="L371" s="204"/>
      <c r="M371" s="216"/>
      <c r="N371" s="220"/>
      <c r="O371" s="220"/>
      <c r="P371" s="220"/>
      <c r="Q371" s="220"/>
      <c r="R371" s="220"/>
      <c r="S371" s="194"/>
      <c r="T371" s="194"/>
      <c r="U371" s="194"/>
      <c r="V371" s="194"/>
      <c r="W371" s="194"/>
      <c r="X371" s="194"/>
      <c r="Y371" s="194"/>
      <c r="Z371" s="194"/>
      <c r="AA371" s="194"/>
      <c r="AB371" s="194"/>
      <c r="AC371" s="194"/>
      <c r="AD371" s="194"/>
      <c r="AE371" s="194"/>
      <c r="AF371" s="194"/>
      <c r="AG371" s="194"/>
      <c r="AH371" s="194"/>
      <c r="AI371" s="194"/>
      <c r="AJ371" s="194"/>
      <c r="AK371" s="194"/>
      <c r="AL371" s="194"/>
      <c r="AM371" s="194"/>
      <c r="AN371" s="194"/>
      <c r="AO371" s="194"/>
      <c r="AP371" s="194"/>
      <c r="AQ371" s="194"/>
    </row>
    <row r="372" spans="4:43" ht="20.25">
      <c r="D372" s="194"/>
      <c r="E372" s="194"/>
      <c r="F372" s="194"/>
      <c r="G372" s="194"/>
      <c r="H372" s="255"/>
      <c r="I372" s="204"/>
      <c r="J372" s="204"/>
      <c r="K372" s="204"/>
      <c r="L372" s="204"/>
      <c r="M372" s="216"/>
      <c r="N372" s="220"/>
      <c r="O372" s="220"/>
      <c r="P372" s="220"/>
      <c r="Q372" s="220"/>
      <c r="R372" s="220"/>
      <c r="S372" s="194"/>
      <c r="T372" s="194"/>
      <c r="U372" s="194"/>
      <c r="V372" s="194"/>
      <c r="W372" s="194"/>
      <c r="X372" s="194"/>
      <c r="Y372" s="194"/>
      <c r="Z372" s="194"/>
      <c r="AA372" s="194"/>
      <c r="AB372" s="194"/>
      <c r="AC372" s="194"/>
      <c r="AD372" s="194"/>
      <c r="AE372" s="194"/>
      <c r="AF372" s="194"/>
      <c r="AG372" s="194"/>
      <c r="AH372" s="194"/>
      <c r="AI372" s="194"/>
      <c r="AJ372" s="194"/>
      <c r="AK372" s="194"/>
      <c r="AL372" s="194"/>
      <c r="AM372" s="194"/>
      <c r="AN372" s="194"/>
      <c r="AO372" s="194"/>
      <c r="AP372" s="194"/>
      <c r="AQ372" s="194"/>
    </row>
    <row r="373" spans="4:43" ht="20.25">
      <c r="D373" s="194"/>
      <c r="E373" s="194"/>
      <c r="F373" s="194"/>
      <c r="G373" s="194"/>
      <c r="H373" s="255"/>
      <c r="I373" s="204"/>
      <c r="J373" s="204"/>
      <c r="K373" s="204"/>
      <c r="L373" s="204"/>
      <c r="M373" s="216"/>
      <c r="N373" s="220"/>
      <c r="O373" s="220"/>
      <c r="P373" s="220"/>
      <c r="Q373" s="220"/>
      <c r="R373" s="220"/>
      <c r="S373" s="194"/>
      <c r="T373" s="194"/>
      <c r="U373" s="194"/>
      <c r="V373" s="194"/>
      <c r="W373" s="194"/>
      <c r="X373" s="194"/>
      <c r="Y373" s="194"/>
      <c r="Z373" s="194"/>
      <c r="AA373" s="194"/>
      <c r="AB373" s="194"/>
      <c r="AC373" s="194"/>
      <c r="AD373" s="194"/>
      <c r="AE373" s="194"/>
      <c r="AF373" s="194"/>
      <c r="AG373" s="194"/>
      <c r="AH373" s="194"/>
      <c r="AI373" s="194"/>
      <c r="AJ373" s="194"/>
      <c r="AK373" s="194"/>
      <c r="AL373" s="194"/>
      <c r="AM373" s="194"/>
      <c r="AN373" s="194"/>
      <c r="AO373" s="194"/>
      <c r="AP373" s="194"/>
      <c r="AQ373" s="194"/>
    </row>
    <row r="374" spans="4:43" ht="20.25">
      <c r="D374" s="194"/>
      <c r="E374" s="194"/>
      <c r="F374" s="194"/>
      <c r="G374" s="194"/>
      <c r="H374" s="255"/>
      <c r="I374" s="204"/>
      <c r="J374" s="204"/>
      <c r="K374" s="204"/>
      <c r="L374" s="204"/>
      <c r="M374" s="216"/>
      <c r="N374" s="220"/>
      <c r="O374" s="220"/>
      <c r="P374" s="220"/>
      <c r="Q374" s="220"/>
      <c r="R374" s="220"/>
      <c r="S374" s="194"/>
      <c r="T374" s="194"/>
      <c r="U374" s="194"/>
      <c r="V374" s="194"/>
      <c r="W374" s="194"/>
      <c r="X374" s="194"/>
      <c r="Y374" s="194"/>
      <c r="Z374" s="194"/>
      <c r="AA374" s="194"/>
      <c r="AB374" s="194"/>
      <c r="AC374" s="194"/>
      <c r="AD374" s="194"/>
      <c r="AE374" s="194"/>
      <c r="AF374" s="194"/>
      <c r="AG374" s="194"/>
      <c r="AH374" s="194"/>
      <c r="AI374" s="194"/>
      <c r="AJ374" s="194"/>
      <c r="AK374" s="194"/>
      <c r="AL374" s="194"/>
      <c r="AM374" s="194"/>
      <c r="AN374" s="194"/>
      <c r="AO374" s="194"/>
      <c r="AP374" s="194"/>
      <c r="AQ374" s="194"/>
    </row>
    <row r="375" spans="4:43" ht="20.25">
      <c r="D375" s="194"/>
      <c r="E375" s="194"/>
      <c r="F375" s="194"/>
      <c r="G375" s="194"/>
      <c r="H375" s="255"/>
      <c r="I375" s="204"/>
      <c r="J375" s="204"/>
      <c r="K375" s="204"/>
      <c r="L375" s="204"/>
      <c r="M375" s="216"/>
      <c r="N375" s="220"/>
      <c r="O375" s="220"/>
      <c r="P375" s="220"/>
      <c r="Q375" s="220"/>
      <c r="R375" s="220"/>
      <c r="S375" s="194"/>
      <c r="T375" s="194"/>
      <c r="U375" s="194"/>
      <c r="V375" s="194"/>
      <c r="W375" s="194"/>
      <c r="X375" s="194"/>
      <c r="Y375" s="194"/>
      <c r="Z375" s="194"/>
      <c r="AA375" s="194"/>
      <c r="AB375" s="194"/>
      <c r="AC375" s="194"/>
      <c r="AD375" s="194"/>
      <c r="AE375" s="194"/>
      <c r="AF375" s="194"/>
      <c r="AG375" s="194"/>
      <c r="AH375" s="194"/>
      <c r="AI375" s="194"/>
      <c r="AJ375" s="194"/>
      <c r="AK375" s="194"/>
      <c r="AL375" s="194"/>
      <c r="AM375" s="194"/>
      <c r="AN375" s="194"/>
      <c r="AO375" s="194"/>
      <c r="AP375" s="194"/>
      <c r="AQ375" s="194"/>
    </row>
    <row r="376" spans="4:43" ht="20.25">
      <c r="D376" s="194"/>
      <c r="E376" s="194"/>
      <c r="F376" s="194"/>
      <c r="G376" s="194"/>
      <c r="H376" s="255"/>
      <c r="I376" s="204"/>
      <c r="J376" s="204"/>
      <c r="K376" s="204"/>
      <c r="L376" s="204"/>
      <c r="M376" s="216"/>
      <c r="N376" s="220"/>
      <c r="O376" s="220"/>
      <c r="P376" s="220"/>
      <c r="Q376" s="220"/>
      <c r="R376" s="220"/>
      <c r="S376" s="194"/>
      <c r="T376" s="194"/>
      <c r="U376" s="194"/>
      <c r="V376" s="194"/>
      <c r="W376" s="194"/>
      <c r="X376" s="194"/>
      <c r="Y376" s="194"/>
      <c r="Z376" s="194"/>
      <c r="AA376" s="194"/>
      <c r="AB376" s="194"/>
      <c r="AC376" s="194"/>
      <c r="AD376" s="194"/>
      <c r="AE376" s="194"/>
      <c r="AF376" s="194"/>
      <c r="AG376" s="194"/>
      <c r="AH376" s="194"/>
      <c r="AI376" s="194"/>
      <c r="AJ376" s="194"/>
      <c r="AK376" s="194"/>
      <c r="AL376" s="194"/>
      <c r="AM376" s="194"/>
      <c r="AN376" s="194"/>
      <c r="AO376" s="194"/>
      <c r="AP376" s="194"/>
      <c r="AQ376" s="194"/>
    </row>
    <row r="377" spans="4:43" ht="20.25">
      <c r="D377" s="194"/>
      <c r="E377" s="194"/>
      <c r="F377" s="194"/>
      <c r="G377" s="194"/>
      <c r="H377" s="255"/>
      <c r="I377" s="204"/>
      <c r="J377" s="204"/>
      <c r="K377" s="204"/>
      <c r="L377" s="204"/>
      <c r="M377" s="216"/>
      <c r="N377" s="220"/>
      <c r="O377" s="220"/>
      <c r="P377" s="220"/>
      <c r="Q377" s="220"/>
      <c r="R377" s="220"/>
      <c r="S377" s="194"/>
      <c r="T377" s="194"/>
      <c r="U377" s="194"/>
      <c r="V377" s="194"/>
      <c r="W377" s="194"/>
      <c r="X377" s="194"/>
      <c r="Y377" s="194"/>
      <c r="Z377" s="194"/>
      <c r="AA377" s="194"/>
      <c r="AB377" s="194"/>
      <c r="AC377" s="194"/>
      <c r="AD377" s="194"/>
      <c r="AE377" s="194"/>
      <c r="AF377" s="194"/>
      <c r="AG377" s="194"/>
      <c r="AH377" s="194"/>
      <c r="AI377" s="194"/>
      <c r="AJ377" s="194"/>
      <c r="AK377" s="194"/>
      <c r="AL377" s="194"/>
      <c r="AM377" s="194"/>
      <c r="AN377" s="194"/>
      <c r="AO377" s="194"/>
      <c r="AP377" s="194"/>
      <c r="AQ377" s="194"/>
    </row>
    <row r="378" spans="4:43" ht="20.25">
      <c r="D378" s="194"/>
      <c r="E378" s="194"/>
      <c r="F378" s="194"/>
      <c r="G378" s="194"/>
      <c r="H378" s="255"/>
      <c r="I378" s="204"/>
      <c r="J378" s="204"/>
      <c r="K378" s="204"/>
      <c r="L378" s="204"/>
      <c r="M378" s="216"/>
      <c r="N378" s="220"/>
      <c r="O378" s="220"/>
      <c r="P378" s="220"/>
      <c r="Q378" s="220"/>
      <c r="R378" s="220"/>
      <c r="S378" s="194"/>
      <c r="T378" s="194"/>
      <c r="U378" s="194"/>
      <c r="V378" s="194"/>
      <c r="W378" s="194"/>
      <c r="X378" s="194"/>
      <c r="Y378" s="194"/>
      <c r="Z378" s="194"/>
      <c r="AA378" s="194"/>
      <c r="AB378" s="194"/>
      <c r="AC378" s="194"/>
      <c r="AD378" s="194"/>
      <c r="AE378" s="194"/>
      <c r="AF378" s="194"/>
      <c r="AG378" s="194"/>
      <c r="AH378" s="194"/>
      <c r="AI378" s="194"/>
      <c r="AJ378" s="194"/>
      <c r="AK378" s="194"/>
      <c r="AL378" s="194"/>
      <c r="AM378" s="194"/>
      <c r="AN378" s="194"/>
      <c r="AO378" s="194"/>
      <c r="AP378" s="194"/>
      <c r="AQ378" s="194"/>
    </row>
    <row r="379" spans="4:43" ht="20.25">
      <c r="D379" s="194"/>
      <c r="E379" s="194"/>
      <c r="F379" s="194"/>
      <c r="G379" s="194"/>
      <c r="H379" s="255"/>
      <c r="I379" s="204"/>
      <c r="J379" s="204"/>
      <c r="K379" s="204"/>
      <c r="L379" s="204"/>
      <c r="M379" s="216"/>
      <c r="N379" s="220"/>
      <c r="O379" s="220"/>
      <c r="P379" s="220"/>
      <c r="Q379" s="220"/>
      <c r="R379" s="220"/>
      <c r="S379" s="194"/>
      <c r="T379" s="194"/>
      <c r="U379" s="194"/>
      <c r="V379" s="194"/>
      <c r="W379" s="194"/>
      <c r="X379" s="194"/>
      <c r="Y379" s="194"/>
      <c r="Z379" s="194"/>
      <c r="AA379" s="194"/>
      <c r="AB379" s="194"/>
      <c r="AC379" s="194"/>
      <c r="AD379" s="194"/>
      <c r="AE379" s="194"/>
      <c r="AF379" s="194"/>
      <c r="AG379" s="194"/>
      <c r="AH379" s="194"/>
      <c r="AI379" s="194"/>
      <c r="AJ379" s="194"/>
      <c r="AK379" s="194"/>
      <c r="AL379" s="194"/>
      <c r="AM379" s="194"/>
      <c r="AN379" s="194"/>
      <c r="AO379" s="194"/>
      <c r="AP379" s="194"/>
      <c r="AQ379" s="194"/>
    </row>
    <row r="380" spans="4:43" ht="20.25">
      <c r="D380" s="194"/>
      <c r="E380" s="194"/>
      <c r="F380" s="194"/>
      <c r="G380" s="194"/>
      <c r="H380" s="255"/>
      <c r="I380" s="204"/>
      <c r="J380" s="204"/>
      <c r="K380" s="204"/>
      <c r="L380" s="204"/>
      <c r="M380" s="216"/>
      <c r="N380" s="220"/>
      <c r="O380" s="220"/>
      <c r="P380" s="220"/>
      <c r="Q380" s="220"/>
      <c r="R380" s="220"/>
      <c r="S380" s="194"/>
      <c r="T380" s="194"/>
      <c r="U380" s="194"/>
      <c r="V380" s="194"/>
      <c r="W380" s="194"/>
      <c r="X380" s="194"/>
      <c r="Y380" s="194"/>
      <c r="Z380" s="194"/>
      <c r="AA380" s="194"/>
      <c r="AB380" s="194"/>
      <c r="AC380" s="194"/>
      <c r="AD380" s="194"/>
      <c r="AE380" s="194"/>
      <c r="AF380" s="194"/>
      <c r="AG380" s="194"/>
      <c r="AH380" s="194"/>
      <c r="AI380" s="194"/>
      <c r="AJ380" s="194"/>
      <c r="AK380" s="194"/>
      <c r="AL380" s="194"/>
      <c r="AM380" s="194"/>
      <c r="AN380" s="194"/>
      <c r="AO380" s="194"/>
      <c r="AP380" s="194"/>
      <c r="AQ380" s="194"/>
    </row>
    <row r="381" spans="4:43" ht="20.25">
      <c r="D381" s="194"/>
      <c r="E381" s="194"/>
      <c r="F381" s="194"/>
      <c r="G381" s="194"/>
      <c r="H381" s="255"/>
      <c r="I381" s="204"/>
      <c r="J381" s="204"/>
      <c r="K381" s="204"/>
      <c r="L381" s="204"/>
      <c r="M381" s="216"/>
      <c r="N381" s="220"/>
      <c r="O381" s="220"/>
      <c r="P381" s="220"/>
      <c r="Q381" s="220"/>
      <c r="R381" s="220"/>
      <c r="S381" s="194"/>
      <c r="T381" s="194"/>
      <c r="U381" s="194"/>
      <c r="V381" s="194"/>
      <c r="W381" s="194"/>
      <c r="X381" s="194"/>
      <c r="Y381" s="194"/>
      <c r="Z381" s="194"/>
      <c r="AA381" s="194"/>
      <c r="AB381" s="194"/>
      <c r="AC381" s="194"/>
      <c r="AD381" s="194"/>
      <c r="AE381" s="194"/>
      <c r="AF381" s="194"/>
      <c r="AG381" s="194"/>
      <c r="AH381" s="194"/>
      <c r="AI381" s="194"/>
      <c r="AJ381" s="194"/>
      <c r="AK381" s="194"/>
      <c r="AL381" s="194"/>
      <c r="AM381" s="194"/>
      <c r="AN381" s="194"/>
      <c r="AO381" s="194"/>
      <c r="AP381" s="194"/>
      <c r="AQ381" s="194"/>
    </row>
    <row r="382" spans="4:43" ht="20.25">
      <c r="D382" s="194"/>
      <c r="E382" s="194"/>
      <c r="F382" s="194"/>
      <c r="G382" s="194"/>
      <c r="H382" s="255"/>
      <c r="I382" s="204"/>
      <c r="J382" s="204"/>
      <c r="K382" s="204"/>
      <c r="L382" s="204"/>
      <c r="M382" s="216"/>
      <c r="N382" s="220"/>
      <c r="O382" s="220"/>
      <c r="P382" s="220"/>
      <c r="Q382" s="220"/>
      <c r="R382" s="220"/>
      <c r="S382" s="194"/>
      <c r="T382" s="194"/>
      <c r="U382" s="194"/>
      <c r="V382" s="194"/>
      <c r="W382" s="194"/>
      <c r="X382" s="194"/>
      <c r="Y382" s="194"/>
      <c r="Z382" s="194"/>
      <c r="AA382" s="194"/>
      <c r="AB382" s="194"/>
      <c r="AC382" s="194"/>
      <c r="AD382" s="194"/>
      <c r="AE382" s="194"/>
      <c r="AF382" s="194"/>
      <c r="AG382" s="194"/>
      <c r="AH382" s="194"/>
      <c r="AI382" s="194"/>
      <c r="AJ382" s="194"/>
      <c r="AK382" s="194"/>
      <c r="AL382" s="194"/>
      <c r="AM382" s="194"/>
      <c r="AN382" s="194"/>
      <c r="AO382" s="194"/>
      <c r="AP382" s="194"/>
      <c r="AQ382" s="194"/>
    </row>
    <row r="383" spans="4:43" ht="20.25">
      <c r="D383" s="194"/>
      <c r="E383" s="194"/>
      <c r="F383" s="194"/>
      <c r="G383" s="194"/>
      <c r="H383" s="255"/>
      <c r="I383" s="204"/>
      <c r="J383" s="204"/>
      <c r="K383" s="204"/>
      <c r="L383" s="204"/>
      <c r="M383" s="216"/>
      <c r="N383" s="220"/>
      <c r="O383" s="220"/>
      <c r="P383" s="220"/>
      <c r="Q383" s="220"/>
      <c r="R383" s="220"/>
      <c r="S383" s="194"/>
      <c r="T383" s="194"/>
      <c r="U383" s="194"/>
      <c r="V383" s="194"/>
      <c r="W383" s="194"/>
      <c r="X383" s="194"/>
      <c r="Y383" s="194"/>
      <c r="Z383" s="194"/>
      <c r="AA383" s="194"/>
      <c r="AB383" s="194"/>
      <c r="AC383" s="194"/>
      <c r="AD383" s="194"/>
      <c r="AE383" s="194"/>
      <c r="AF383" s="194"/>
      <c r="AG383" s="194"/>
      <c r="AH383" s="194"/>
      <c r="AI383" s="194"/>
      <c r="AJ383" s="194"/>
      <c r="AK383" s="194"/>
      <c r="AL383" s="194"/>
      <c r="AM383" s="194"/>
      <c r="AN383" s="194"/>
      <c r="AO383" s="194"/>
      <c r="AP383" s="194"/>
      <c r="AQ383" s="194"/>
    </row>
    <row r="384" spans="4:43" ht="20.25">
      <c r="D384" s="194"/>
      <c r="E384" s="194"/>
      <c r="F384" s="194"/>
      <c r="G384" s="194"/>
      <c r="H384" s="255"/>
      <c r="I384" s="204"/>
      <c r="J384" s="204"/>
      <c r="K384" s="204"/>
      <c r="L384" s="204"/>
      <c r="M384" s="216"/>
      <c r="N384" s="220"/>
      <c r="O384" s="220"/>
      <c r="P384" s="220"/>
      <c r="Q384" s="220"/>
      <c r="R384" s="220"/>
      <c r="S384" s="194"/>
      <c r="T384" s="194"/>
      <c r="U384" s="194"/>
      <c r="V384" s="194"/>
      <c r="W384" s="194"/>
      <c r="X384" s="194"/>
      <c r="Y384" s="194"/>
      <c r="Z384" s="194"/>
      <c r="AA384" s="194"/>
      <c r="AB384" s="194"/>
      <c r="AC384" s="194"/>
      <c r="AD384" s="194"/>
      <c r="AE384" s="194"/>
      <c r="AF384" s="194"/>
      <c r="AG384" s="194"/>
      <c r="AH384" s="194"/>
      <c r="AI384" s="194"/>
      <c r="AJ384" s="194"/>
      <c r="AK384" s="194"/>
      <c r="AL384" s="194"/>
      <c r="AM384" s="194"/>
      <c r="AN384" s="194"/>
      <c r="AO384" s="194"/>
      <c r="AP384" s="194"/>
      <c r="AQ384" s="194"/>
    </row>
    <row r="385" spans="4:43" ht="20.25">
      <c r="D385" s="194"/>
      <c r="E385" s="194"/>
      <c r="F385" s="194"/>
      <c r="G385" s="194"/>
      <c r="H385" s="255"/>
      <c r="I385" s="204"/>
      <c r="J385" s="204"/>
      <c r="K385" s="204"/>
      <c r="L385" s="204"/>
      <c r="M385" s="216"/>
      <c r="N385" s="220"/>
      <c r="O385" s="220"/>
      <c r="P385" s="220"/>
      <c r="Q385" s="220"/>
      <c r="R385" s="220"/>
      <c r="S385" s="194"/>
      <c r="T385" s="194"/>
      <c r="U385" s="194"/>
      <c r="V385" s="194"/>
      <c r="W385" s="194"/>
      <c r="X385" s="194"/>
      <c r="Y385" s="194"/>
      <c r="Z385" s="194"/>
      <c r="AA385" s="194"/>
      <c r="AB385" s="194"/>
      <c r="AC385" s="194"/>
      <c r="AD385" s="194"/>
      <c r="AE385" s="194"/>
      <c r="AF385" s="194"/>
      <c r="AG385" s="194"/>
      <c r="AH385" s="194"/>
      <c r="AI385" s="194"/>
      <c r="AJ385" s="194"/>
      <c r="AK385" s="194"/>
      <c r="AL385" s="194"/>
      <c r="AM385" s="194"/>
      <c r="AN385" s="194"/>
      <c r="AO385" s="194"/>
      <c r="AP385" s="194"/>
      <c r="AQ385" s="194"/>
    </row>
    <row r="386" spans="4:43" ht="20.25">
      <c r="D386" s="194"/>
      <c r="E386" s="194"/>
      <c r="F386" s="194"/>
      <c r="G386" s="194"/>
      <c r="H386" s="255"/>
      <c r="I386" s="204"/>
      <c r="J386" s="204"/>
      <c r="K386" s="204"/>
      <c r="L386" s="204"/>
      <c r="M386" s="216"/>
      <c r="N386" s="220"/>
      <c r="O386" s="220"/>
      <c r="P386" s="220"/>
      <c r="Q386" s="220"/>
      <c r="R386" s="220"/>
      <c r="S386" s="194"/>
      <c r="T386" s="194"/>
      <c r="U386" s="194"/>
      <c r="V386" s="194"/>
      <c r="W386" s="194"/>
      <c r="X386" s="194"/>
      <c r="Y386" s="194"/>
      <c r="Z386" s="194"/>
      <c r="AA386" s="194"/>
      <c r="AB386" s="194"/>
      <c r="AC386" s="194"/>
      <c r="AD386" s="194"/>
      <c r="AE386" s="194"/>
      <c r="AF386" s="194"/>
      <c r="AG386" s="194"/>
      <c r="AH386" s="194"/>
      <c r="AI386" s="194"/>
      <c r="AJ386" s="194"/>
      <c r="AK386" s="194"/>
      <c r="AL386" s="194"/>
      <c r="AM386" s="194"/>
      <c r="AN386" s="194"/>
      <c r="AO386" s="194"/>
      <c r="AP386" s="194"/>
      <c r="AQ386" s="194"/>
    </row>
    <row r="387" spans="4:43" ht="20.25">
      <c r="D387" s="194"/>
      <c r="E387" s="194"/>
      <c r="F387" s="194"/>
      <c r="G387" s="194"/>
      <c r="H387" s="255"/>
      <c r="I387" s="204"/>
      <c r="J387" s="204"/>
      <c r="K387" s="204"/>
      <c r="L387" s="204"/>
      <c r="M387" s="216"/>
      <c r="N387" s="220"/>
      <c r="O387" s="220"/>
      <c r="P387" s="220"/>
      <c r="Q387" s="220"/>
      <c r="R387" s="220"/>
      <c r="S387" s="194"/>
      <c r="T387" s="194"/>
      <c r="U387" s="194"/>
      <c r="V387" s="194"/>
      <c r="W387" s="194"/>
      <c r="X387" s="194"/>
      <c r="Y387" s="194"/>
      <c r="Z387" s="194"/>
      <c r="AA387" s="194"/>
      <c r="AB387" s="194"/>
      <c r="AC387" s="194"/>
      <c r="AD387" s="194"/>
      <c r="AE387" s="194"/>
      <c r="AF387" s="194"/>
      <c r="AG387" s="194"/>
      <c r="AH387" s="194"/>
      <c r="AI387" s="194"/>
      <c r="AJ387" s="194"/>
      <c r="AK387" s="194"/>
      <c r="AL387" s="194"/>
      <c r="AM387" s="194"/>
      <c r="AN387" s="194"/>
      <c r="AO387" s="194"/>
      <c r="AP387" s="194"/>
      <c r="AQ387" s="194"/>
    </row>
    <row r="388" spans="4:43" ht="20.25">
      <c r="D388" s="194"/>
      <c r="E388" s="194"/>
      <c r="F388" s="194"/>
      <c r="G388" s="194"/>
      <c r="H388" s="255"/>
      <c r="I388" s="204"/>
      <c r="J388" s="204"/>
      <c r="K388" s="204"/>
      <c r="L388" s="204"/>
      <c r="M388" s="216"/>
      <c r="N388" s="220"/>
      <c r="O388" s="220"/>
      <c r="P388" s="220"/>
      <c r="Q388" s="220"/>
      <c r="R388" s="220"/>
      <c r="S388" s="194"/>
      <c r="T388" s="194"/>
      <c r="U388" s="194"/>
      <c r="V388" s="194"/>
      <c r="W388" s="194"/>
      <c r="X388" s="194"/>
      <c r="Y388" s="194"/>
      <c r="Z388" s="194"/>
      <c r="AA388" s="194"/>
      <c r="AB388" s="194"/>
      <c r="AC388" s="194"/>
      <c r="AD388" s="194"/>
      <c r="AE388" s="194"/>
      <c r="AF388" s="194"/>
      <c r="AG388" s="194"/>
      <c r="AH388" s="194"/>
      <c r="AI388" s="194"/>
      <c r="AJ388" s="194"/>
      <c r="AK388" s="194"/>
      <c r="AL388" s="194"/>
      <c r="AM388" s="194"/>
      <c r="AN388" s="194"/>
      <c r="AO388" s="194"/>
      <c r="AP388" s="194"/>
      <c r="AQ388" s="194"/>
    </row>
    <row r="389" spans="4:43" ht="20.25">
      <c r="D389" s="194"/>
      <c r="E389" s="194"/>
      <c r="F389" s="194"/>
      <c r="G389" s="194"/>
      <c r="H389" s="255"/>
      <c r="I389" s="204"/>
      <c r="J389" s="204"/>
      <c r="K389" s="204"/>
      <c r="L389" s="204"/>
      <c r="M389" s="216"/>
      <c r="N389" s="220"/>
      <c r="O389" s="220"/>
      <c r="P389" s="220"/>
      <c r="Q389" s="220"/>
      <c r="R389" s="220"/>
      <c r="S389" s="194"/>
      <c r="T389" s="194"/>
      <c r="U389" s="194"/>
      <c r="V389" s="194"/>
      <c r="W389" s="194"/>
      <c r="X389" s="194"/>
      <c r="Y389" s="194"/>
      <c r="Z389" s="194"/>
      <c r="AA389" s="194"/>
      <c r="AB389" s="194"/>
      <c r="AC389" s="194"/>
      <c r="AD389" s="194"/>
      <c r="AE389" s="194"/>
      <c r="AF389" s="194"/>
      <c r="AG389" s="194"/>
      <c r="AH389" s="194"/>
      <c r="AI389" s="194"/>
      <c r="AJ389" s="194"/>
      <c r="AK389" s="194"/>
      <c r="AL389" s="194"/>
      <c r="AM389" s="194"/>
      <c r="AN389" s="194"/>
      <c r="AO389" s="194"/>
      <c r="AP389" s="194"/>
      <c r="AQ389" s="194"/>
    </row>
    <row r="390" spans="4:43" ht="20.25">
      <c r="D390" s="194"/>
      <c r="E390" s="194"/>
      <c r="F390" s="194"/>
      <c r="G390" s="194"/>
      <c r="H390" s="255"/>
      <c r="I390" s="204"/>
      <c r="J390" s="204"/>
      <c r="K390" s="204"/>
      <c r="L390" s="204"/>
      <c r="M390" s="216"/>
      <c r="N390" s="220"/>
      <c r="O390" s="220"/>
      <c r="P390" s="220"/>
      <c r="Q390" s="220"/>
      <c r="R390" s="220"/>
      <c r="S390" s="194"/>
      <c r="T390" s="194"/>
      <c r="U390" s="194"/>
      <c r="V390" s="194"/>
      <c r="W390" s="194"/>
      <c r="X390" s="194"/>
      <c r="Y390" s="194"/>
      <c r="Z390" s="194"/>
      <c r="AA390" s="194"/>
      <c r="AB390" s="194"/>
      <c r="AC390" s="194"/>
      <c r="AD390" s="194"/>
      <c r="AE390" s="194"/>
      <c r="AF390" s="194"/>
      <c r="AG390" s="194"/>
      <c r="AH390" s="194"/>
      <c r="AI390" s="194"/>
      <c r="AJ390" s="194"/>
      <c r="AK390" s="194"/>
      <c r="AL390" s="194"/>
      <c r="AM390" s="194"/>
      <c r="AN390" s="194"/>
      <c r="AO390" s="194"/>
      <c r="AP390" s="194"/>
      <c r="AQ390" s="194"/>
    </row>
    <row r="391" spans="4:43" ht="20.25">
      <c r="D391" s="194"/>
      <c r="E391" s="194"/>
      <c r="F391" s="194"/>
      <c r="G391" s="194"/>
      <c r="H391" s="255"/>
      <c r="I391" s="204"/>
      <c r="J391" s="204"/>
      <c r="K391" s="204"/>
      <c r="L391" s="204"/>
      <c r="M391" s="216"/>
      <c r="N391" s="220"/>
      <c r="O391" s="220"/>
      <c r="P391" s="220"/>
      <c r="Q391" s="220"/>
      <c r="R391" s="220"/>
      <c r="S391" s="194"/>
      <c r="T391" s="194"/>
      <c r="U391" s="194"/>
      <c r="V391" s="194"/>
      <c r="W391" s="194"/>
      <c r="X391" s="194"/>
      <c r="Y391" s="194"/>
      <c r="Z391" s="194"/>
      <c r="AA391" s="194"/>
      <c r="AB391" s="194"/>
      <c r="AC391" s="194"/>
      <c r="AD391" s="194"/>
      <c r="AE391" s="194"/>
      <c r="AF391" s="194"/>
      <c r="AG391" s="194"/>
      <c r="AH391" s="194"/>
      <c r="AI391" s="194"/>
      <c r="AJ391" s="194"/>
      <c r="AK391" s="194"/>
      <c r="AL391" s="194"/>
      <c r="AM391" s="194"/>
      <c r="AN391" s="194"/>
      <c r="AO391" s="194"/>
      <c r="AP391" s="194"/>
      <c r="AQ391" s="194"/>
    </row>
    <row r="392" spans="4:43" ht="20.25">
      <c r="D392" s="194"/>
      <c r="E392" s="194"/>
      <c r="F392" s="194"/>
      <c r="G392" s="194"/>
      <c r="H392" s="255"/>
      <c r="I392" s="204"/>
      <c r="J392" s="204"/>
      <c r="K392" s="204"/>
      <c r="L392" s="204"/>
      <c r="M392" s="216"/>
      <c r="N392" s="220"/>
      <c r="O392" s="220"/>
      <c r="P392" s="220"/>
      <c r="Q392" s="220"/>
      <c r="R392" s="220"/>
      <c r="S392" s="194"/>
      <c r="T392" s="194"/>
      <c r="U392" s="194"/>
      <c r="V392" s="194"/>
      <c r="W392" s="194"/>
      <c r="X392" s="194"/>
      <c r="Y392" s="194"/>
      <c r="Z392" s="194"/>
      <c r="AA392" s="194"/>
      <c r="AB392" s="194"/>
      <c r="AC392" s="194"/>
      <c r="AD392" s="194"/>
      <c r="AE392" s="194"/>
      <c r="AF392" s="194"/>
      <c r="AG392" s="194"/>
      <c r="AH392" s="194"/>
      <c r="AI392" s="194"/>
      <c r="AJ392" s="194"/>
      <c r="AK392" s="194"/>
      <c r="AL392" s="194"/>
      <c r="AM392" s="194"/>
      <c r="AN392" s="194"/>
      <c r="AO392" s="194"/>
      <c r="AP392" s="194"/>
      <c r="AQ392" s="194"/>
    </row>
    <row r="393" spans="4:43" ht="20.25">
      <c r="D393" s="194"/>
      <c r="E393" s="194"/>
      <c r="F393" s="194"/>
      <c r="G393" s="194"/>
      <c r="H393" s="255"/>
      <c r="I393" s="204"/>
      <c r="J393" s="204"/>
      <c r="K393" s="204"/>
      <c r="L393" s="204"/>
      <c r="M393" s="216"/>
      <c r="N393" s="220"/>
      <c r="O393" s="220"/>
      <c r="P393" s="220"/>
      <c r="Q393" s="220"/>
      <c r="R393" s="220"/>
      <c r="S393" s="194"/>
      <c r="T393" s="194"/>
      <c r="U393" s="194"/>
      <c r="V393" s="194"/>
      <c r="W393" s="194"/>
      <c r="X393" s="194"/>
      <c r="Y393" s="194"/>
      <c r="Z393" s="194"/>
      <c r="AA393" s="194"/>
      <c r="AB393" s="194"/>
      <c r="AC393" s="194"/>
      <c r="AD393" s="194"/>
      <c r="AE393" s="194"/>
      <c r="AF393" s="194"/>
      <c r="AG393" s="194"/>
      <c r="AH393" s="194"/>
      <c r="AI393" s="194"/>
      <c r="AJ393" s="194"/>
      <c r="AK393" s="194"/>
      <c r="AL393" s="194"/>
      <c r="AM393" s="194"/>
      <c r="AN393" s="194"/>
      <c r="AO393" s="194"/>
      <c r="AP393" s="194"/>
      <c r="AQ393" s="194"/>
    </row>
    <row r="394" spans="4:43" ht="20.25">
      <c r="D394" s="194"/>
      <c r="E394" s="194"/>
      <c r="F394" s="194"/>
      <c r="G394" s="194"/>
      <c r="H394" s="255"/>
      <c r="I394" s="204"/>
      <c r="J394" s="204"/>
      <c r="K394" s="204"/>
      <c r="L394" s="204"/>
      <c r="M394" s="216"/>
      <c r="N394" s="220"/>
      <c r="O394" s="220"/>
      <c r="P394" s="220"/>
      <c r="Q394" s="220"/>
      <c r="R394" s="220"/>
      <c r="S394" s="194"/>
      <c r="T394" s="194"/>
      <c r="U394" s="194"/>
      <c r="V394" s="194"/>
      <c r="W394" s="194"/>
      <c r="X394" s="194"/>
      <c r="Y394" s="194"/>
      <c r="Z394" s="194"/>
      <c r="AA394" s="194"/>
      <c r="AB394" s="194"/>
      <c r="AC394" s="194"/>
      <c r="AD394" s="194"/>
      <c r="AE394" s="194"/>
      <c r="AF394" s="194"/>
      <c r="AG394" s="194"/>
      <c r="AH394" s="194"/>
      <c r="AI394" s="194"/>
      <c r="AJ394" s="194"/>
      <c r="AK394" s="194"/>
      <c r="AL394" s="194"/>
      <c r="AM394" s="194"/>
      <c r="AN394" s="194"/>
      <c r="AO394" s="194"/>
      <c r="AP394" s="194"/>
      <c r="AQ394" s="194"/>
    </row>
    <row r="395" spans="4:43" ht="20.25">
      <c r="D395" s="194"/>
      <c r="E395" s="194"/>
      <c r="F395" s="194"/>
      <c r="G395" s="194"/>
      <c r="H395" s="255"/>
      <c r="I395" s="204"/>
      <c r="J395" s="204"/>
      <c r="K395" s="204"/>
      <c r="L395" s="204"/>
      <c r="M395" s="216"/>
      <c r="N395" s="220"/>
      <c r="O395" s="220"/>
      <c r="P395" s="220"/>
      <c r="Q395" s="220"/>
      <c r="R395" s="220"/>
      <c r="S395" s="194"/>
      <c r="T395" s="194"/>
      <c r="U395" s="194"/>
      <c r="V395" s="194"/>
      <c r="W395" s="194"/>
      <c r="X395" s="194"/>
      <c r="Y395" s="194"/>
      <c r="Z395" s="194"/>
      <c r="AA395" s="194"/>
      <c r="AB395" s="194"/>
      <c r="AC395" s="194"/>
      <c r="AD395" s="194"/>
      <c r="AE395" s="194"/>
      <c r="AF395" s="194"/>
      <c r="AG395" s="194"/>
      <c r="AH395" s="194"/>
      <c r="AI395" s="194"/>
      <c r="AJ395" s="194"/>
      <c r="AK395" s="194"/>
      <c r="AL395" s="194"/>
      <c r="AM395" s="194"/>
      <c r="AN395" s="194"/>
      <c r="AO395" s="194"/>
      <c r="AP395" s="194"/>
      <c r="AQ395" s="194"/>
    </row>
    <row r="396" spans="4:43" ht="20.25">
      <c r="D396" s="194"/>
      <c r="E396" s="194"/>
      <c r="F396" s="194"/>
      <c r="G396" s="194"/>
      <c r="H396" s="255"/>
      <c r="I396" s="204"/>
      <c r="J396" s="204"/>
      <c r="K396" s="204"/>
      <c r="L396" s="204"/>
      <c r="M396" s="216"/>
      <c r="N396" s="220"/>
      <c r="O396" s="220"/>
      <c r="P396" s="220"/>
      <c r="Q396" s="220"/>
      <c r="R396" s="220"/>
      <c r="S396" s="194"/>
      <c r="T396" s="194"/>
      <c r="U396" s="194"/>
      <c r="V396" s="194"/>
      <c r="W396" s="194"/>
      <c r="X396" s="194"/>
      <c r="Y396" s="194"/>
      <c r="Z396" s="194"/>
      <c r="AA396" s="194"/>
      <c r="AB396" s="194"/>
      <c r="AC396" s="194"/>
      <c r="AD396" s="194"/>
      <c r="AE396" s="194"/>
      <c r="AF396" s="194"/>
      <c r="AG396" s="194"/>
      <c r="AH396" s="194"/>
      <c r="AI396" s="194"/>
      <c r="AJ396" s="194"/>
      <c r="AK396" s="194"/>
      <c r="AL396" s="194"/>
      <c r="AM396" s="194"/>
      <c r="AN396" s="194"/>
      <c r="AO396" s="194"/>
      <c r="AP396" s="194"/>
      <c r="AQ396" s="194"/>
    </row>
    <row r="397" spans="4:43" ht="20.25">
      <c r="D397" s="194"/>
      <c r="E397" s="194"/>
      <c r="F397" s="194"/>
      <c r="G397" s="194"/>
      <c r="H397" s="255"/>
      <c r="I397" s="204"/>
      <c r="J397" s="204"/>
      <c r="K397" s="204"/>
      <c r="L397" s="204"/>
      <c r="M397" s="216"/>
      <c r="N397" s="220"/>
      <c r="O397" s="220"/>
      <c r="P397" s="220"/>
      <c r="Q397" s="220"/>
      <c r="R397" s="220"/>
      <c r="S397" s="194"/>
      <c r="T397" s="194"/>
      <c r="U397" s="194"/>
      <c r="V397" s="194"/>
      <c r="W397" s="194"/>
      <c r="X397" s="194"/>
      <c r="Y397" s="194"/>
      <c r="Z397" s="194"/>
      <c r="AA397" s="194"/>
      <c r="AB397" s="194"/>
      <c r="AC397" s="194"/>
      <c r="AD397" s="194"/>
      <c r="AE397" s="194"/>
      <c r="AF397" s="194"/>
      <c r="AG397" s="194"/>
      <c r="AH397" s="194"/>
      <c r="AI397" s="194"/>
      <c r="AJ397" s="194"/>
      <c r="AK397" s="194"/>
      <c r="AL397" s="194"/>
      <c r="AM397" s="194"/>
      <c r="AN397" s="194"/>
      <c r="AO397" s="194"/>
      <c r="AP397" s="194"/>
      <c r="AQ397" s="194"/>
    </row>
    <row r="398" spans="4:43" ht="20.25">
      <c r="D398" s="194"/>
      <c r="E398" s="194"/>
      <c r="F398" s="194"/>
      <c r="G398" s="194"/>
      <c r="H398" s="255"/>
      <c r="I398" s="204"/>
      <c r="J398" s="204"/>
      <c r="K398" s="204"/>
      <c r="L398" s="204"/>
      <c r="M398" s="216"/>
      <c r="N398" s="220"/>
      <c r="O398" s="220"/>
      <c r="P398" s="220"/>
      <c r="Q398" s="220"/>
      <c r="R398" s="220"/>
      <c r="S398" s="194"/>
      <c r="T398" s="194"/>
      <c r="U398" s="194"/>
      <c r="V398" s="194"/>
      <c r="W398" s="194"/>
      <c r="X398" s="194"/>
      <c r="Y398" s="194"/>
      <c r="Z398" s="194"/>
      <c r="AA398" s="194"/>
      <c r="AB398" s="194"/>
      <c r="AC398" s="194"/>
      <c r="AD398" s="194"/>
      <c r="AE398" s="194"/>
      <c r="AF398" s="194"/>
      <c r="AG398" s="194"/>
      <c r="AH398" s="194"/>
      <c r="AI398" s="194"/>
      <c r="AJ398" s="194"/>
      <c r="AK398" s="194"/>
      <c r="AL398" s="194"/>
      <c r="AM398" s="194"/>
      <c r="AN398" s="194"/>
      <c r="AO398" s="194"/>
      <c r="AP398" s="194"/>
      <c r="AQ398" s="194"/>
    </row>
    <row r="399" spans="4:43" ht="20.25">
      <c r="D399" s="194"/>
      <c r="E399" s="194"/>
      <c r="F399" s="194"/>
      <c r="G399" s="194"/>
      <c r="H399" s="255"/>
      <c r="I399" s="204"/>
      <c r="J399" s="204"/>
      <c r="K399" s="204"/>
      <c r="L399" s="204"/>
      <c r="M399" s="216"/>
      <c r="N399" s="220"/>
      <c r="O399" s="220"/>
      <c r="P399" s="220"/>
      <c r="Q399" s="220"/>
      <c r="R399" s="220"/>
      <c r="S399" s="194"/>
      <c r="T399" s="194"/>
      <c r="U399" s="194"/>
      <c r="V399" s="194"/>
      <c r="W399" s="194"/>
      <c r="X399" s="194"/>
      <c r="Y399" s="194"/>
      <c r="Z399" s="194"/>
      <c r="AA399" s="194"/>
      <c r="AB399" s="194"/>
      <c r="AC399" s="194"/>
      <c r="AD399" s="194"/>
      <c r="AE399" s="194"/>
      <c r="AF399" s="194"/>
      <c r="AG399" s="194"/>
      <c r="AH399" s="194"/>
      <c r="AI399" s="194"/>
      <c r="AJ399" s="194"/>
      <c r="AK399" s="194"/>
      <c r="AL399" s="194"/>
      <c r="AM399" s="194"/>
      <c r="AN399" s="194"/>
      <c r="AO399" s="194"/>
      <c r="AP399" s="194"/>
      <c r="AQ399" s="194"/>
    </row>
    <row r="400" spans="4:43" ht="20.25">
      <c r="D400" s="194"/>
      <c r="E400" s="194"/>
      <c r="F400" s="194"/>
      <c r="G400" s="194"/>
      <c r="H400" s="255"/>
      <c r="I400" s="204"/>
      <c r="J400" s="204"/>
      <c r="K400" s="204"/>
      <c r="L400" s="204"/>
      <c r="M400" s="216"/>
      <c r="N400" s="220"/>
      <c r="O400" s="220"/>
      <c r="P400" s="220"/>
      <c r="Q400" s="220"/>
      <c r="R400" s="220"/>
      <c r="S400" s="194"/>
      <c r="T400" s="194"/>
      <c r="U400" s="194"/>
      <c r="V400" s="194"/>
      <c r="W400" s="194"/>
      <c r="X400" s="194"/>
      <c r="Y400" s="194"/>
      <c r="Z400" s="194"/>
      <c r="AA400" s="194"/>
      <c r="AB400" s="194"/>
      <c r="AC400" s="194"/>
      <c r="AD400" s="194"/>
      <c r="AE400" s="194"/>
      <c r="AF400" s="194"/>
      <c r="AG400" s="194"/>
      <c r="AH400" s="194"/>
      <c r="AI400" s="194"/>
      <c r="AJ400" s="194"/>
      <c r="AK400" s="194"/>
      <c r="AL400" s="194"/>
      <c r="AM400" s="194"/>
      <c r="AN400" s="194"/>
      <c r="AO400" s="194"/>
      <c r="AP400" s="194"/>
      <c r="AQ400" s="194"/>
    </row>
    <row r="401" spans="4:43" ht="20.25">
      <c r="D401" s="194"/>
      <c r="E401" s="194"/>
      <c r="F401" s="194"/>
      <c r="G401" s="194"/>
      <c r="H401" s="255"/>
      <c r="I401" s="204"/>
      <c r="J401" s="204"/>
      <c r="K401" s="204"/>
      <c r="L401" s="204"/>
      <c r="M401" s="216"/>
      <c r="N401" s="220"/>
      <c r="O401" s="220"/>
      <c r="P401" s="220"/>
      <c r="Q401" s="220"/>
      <c r="R401" s="220"/>
      <c r="S401" s="194"/>
      <c r="T401" s="194"/>
      <c r="U401" s="194"/>
      <c r="V401" s="194"/>
      <c r="W401" s="194"/>
      <c r="X401" s="194"/>
      <c r="Y401" s="194"/>
      <c r="Z401" s="194"/>
      <c r="AA401" s="194"/>
      <c r="AB401" s="194"/>
      <c r="AC401" s="194"/>
      <c r="AD401" s="194"/>
      <c r="AE401" s="194"/>
      <c r="AF401" s="194"/>
      <c r="AG401" s="194"/>
      <c r="AH401" s="194"/>
      <c r="AI401" s="194"/>
      <c r="AJ401" s="194"/>
      <c r="AK401" s="194"/>
      <c r="AL401" s="194"/>
      <c r="AM401" s="194"/>
      <c r="AN401" s="194"/>
      <c r="AO401" s="194"/>
      <c r="AP401" s="194"/>
      <c r="AQ401" s="194"/>
    </row>
    <row r="402" spans="4:43" ht="20.25">
      <c r="D402" s="194"/>
      <c r="E402" s="194"/>
      <c r="F402" s="194"/>
      <c r="G402" s="194"/>
      <c r="H402" s="255"/>
      <c r="I402" s="204"/>
      <c r="J402" s="204"/>
      <c r="K402" s="204"/>
      <c r="L402" s="204"/>
      <c r="M402" s="216"/>
      <c r="N402" s="220"/>
      <c r="O402" s="220"/>
      <c r="P402" s="220"/>
      <c r="Q402" s="220"/>
      <c r="R402" s="220"/>
      <c r="S402" s="194"/>
      <c r="T402" s="194"/>
      <c r="U402" s="194"/>
      <c r="V402" s="194"/>
      <c r="W402" s="194"/>
      <c r="X402" s="194"/>
      <c r="Y402" s="194"/>
      <c r="Z402" s="194"/>
      <c r="AA402" s="194"/>
      <c r="AB402" s="194"/>
      <c r="AC402" s="194"/>
      <c r="AD402" s="194"/>
      <c r="AE402" s="194"/>
      <c r="AF402" s="194"/>
      <c r="AG402" s="194"/>
      <c r="AH402" s="194"/>
      <c r="AI402" s="194"/>
      <c r="AJ402" s="194"/>
      <c r="AK402" s="194"/>
      <c r="AL402" s="194"/>
      <c r="AM402" s="194"/>
      <c r="AN402" s="194"/>
      <c r="AO402" s="194"/>
      <c r="AP402" s="194"/>
      <c r="AQ402" s="194"/>
    </row>
    <row r="403" spans="4:43" ht="20.25">
      <c r="D403" s="194"/>
      <c r="E403" s="194"/>
      <c r="F403" s="194"/>
      <c r="G403" s="194"/>
      <c r="H403" s="255"/>
      <c r="I403" s="204"/>
      <c r="J403" s="204"/>
      <c r="K403" s="204"/>
      <c r="L403" s="204"/>
      <c r="M403" s="216"/>
      <c r="N403" s="220"/>
      <c r="O403" s="220"/>
      <c r="P403" s="220"/>
      <c r="Q403" s="220"/>
      <c r="R403" s="220"/>
      <c r="S403" s="194"/>
      <c r="T403" s="194"/>
      <c r="U403" s="194"/>
      <c r="V403" s="194"/>
      <c r="W403" s="194"/>
      <c r="X403" s="194"/>
      <c r="Y403" s="194"/>
      <c r="Z403" s="194"/>
      <c r="AA403" s="194"/>
      <c r="AB403" s="194"/>
      <c r="AC403" s="194"/>
      <c r="AD403" s="194"/>
      <c r="AE403" s="194"/>
      <c r="AF403" s="194"/>
      <c r="AG403" s="194"/>
      <c r="AH403" s="194"/>
      <c r="AI403" s="194"/>
      <c r="AJ403" s="194"/>
      <c r="AK403" s="194"/>
      <c r="AL403" s="194"/>
      <c r="AM403" s="194"/>
      <c r="AN403" s="194"/>
      <c r="AO403" s="194"/>
      <c r="AP403" s="194"/>
      <c r="AQ403" s="194"/>
    </row>
    <row r="404" spans="4:43" ht="20.25">
      <c r="D404" s="194"/>
      <c r="E404" s="194"/>
      <c r="F404" s="194"/>
      <c r="G404" s="194"/>
      <c r="H404" s="255"/>
      <c r="I404" s="204"/>
      <c r="J404" s="204"/>
      <c r="K404" s="204"/>
      <c r="L404" s="204"/>
      <c r="M404" s="216"/>
      <c r="N404" s="220"/>
      <c r="O404" s="220"/>
      <c r="P404" s="220"/>
      <c r="Q404" s="220"/>
      <c r="R404" s="220"/>
      <c r="S404" s="194"/>
      <c r="T404" s="194"/>
      <c r="U404" s="194"/>
      <c r="V404" s="194"/>
      <c r="W404" s="194"/>
      <c r="X404" s="194"/>
      <c r="Y404" s="194"/>
      <c r="Z404" s="194"/>
      <c r="AA404" s="194"/>
      <c r="AB404" s="194"/>
      <c r="AC404" s="194"/>
      <c r="AD404" s="194"/>
      <c r="AE404" s="194"/>
      <c r="AF404" s="194"/>
      <c r="AG404" s="194"/>
      <c r="AH404" s="194"/>
      <c r="AI404" s="194"/>
      <c r="AJ404" s="194"/>
      <c r="AK404" s="194"/>
      <c r="AL404" s="194"/>
      <c r="AM404" s="194"/>
      <c r="AN404" s="194"/>
      <c r="AO404" s="194"/>
      <c r="AP404" s="194"/>
      <c r="AQ404" s="194"/>
    </row>
    <row r="405" spans="4:43" ht="20.25">
      <c r="D405" s="194"/>
      <c r="E405" s="194"/>
      <c r="F405" s="194"/>
      <c r="G405" s="194"/>
      <c r="H405" s="255"/>
      <c r="I405" s="204"/>
      <c r="J405" s="204"/>
      <c r="K405" s="204"/>
      <c r="L405" s="204"/>
      <c r="M405" s="216"/>
      <c r="N405" s="220"/>
      <c r="O405" s="220"/>
      <c r="P405" s="220"/>
      <c r="Q405" s="220"/>
      <c r="R405" s="220"/>
      <c r="S405" s="194"/>
      <c r="T405" s="194"/>
      <c r="U405" s="194"/>
      <c r="V405" s="194"/>
      <c r="W405" s="194"/>
      <c r="X405" s="194"/>
      <c r="Y405" s="194"/>
      <c r="Z405" s="194"/>
      <c r="AA405" s="194"/>
      <c r="AB405" s="194"/>
      <c r="AC405" s="194"/>
      <c r="AD405" s="194"/>
      <c r="AE405" s="194"/>
      <c r="AF405" s="194"/>
      <c r="AG405" s="194"/>
      <c r="AH405" s="194"/>
      <c r="AI405" s="194"/>
      <c r="AJ405" s="194"/>
      <c r="AK405" s="194"/>
      <c r="AL405" s="194"/>
      <c r="AM405" s="194"/>
      <c r="AN405" s="194"/>
      <c r="AO405" s="194"/>
      <c r="AP405" s="194"/>
      <c r="AQ405" s="194"/>
    </row>
    <row r="406" spans="4:43" ht="20.25">
      <c r="D406" s="194"/>
      <c r="E406" s="194"/>
      <c r="F406" s="194"/>
      <c r="G406" s="194"/>
      <c r="H406" s="255"/>
      <c r="I406" s="204"/>
      <c r="J406" s="204"/>
      <c r="K406" s="204"/>
      <c r="L406" s="204"/>
      <c r="M406" s="216"/>
      <c r="N406" s="220"/>
      <c r="O406" s="220"/>
      <c r="P406" s="220"/>
      <c r="Q406" s="220"/>
      <c r="R406" s="220"/>
      <c r="S406" s="194"/>
      <c r="T406" s="194"/>
      <c r="U406" s="194"/>
      <c r="V406" s="194"/>
      <c r="W406" s="194"/>
      <c r="X406" s="194"/>
      <c r="Y406" s="194"/>
      <c r="Z406" s="194"/>
      <c r="AA406" s="194"/>
      <c r="AB406" s="194"/>
      <c r="AC406" s="194"/>
      <c r="AD406" s="194"/>
      <c r="AE406" s="194"/>
      <c r="AF406" s="194"/>
      <c r="AG406" s="194"/>
      <c r="AH406" s="194"/>
      <c r="AI406" s="194"/>
      <c r="AJ406" s="194"/>
      <c r="AK406" s="194"/>
      <c r="AL406" s="194"/>
      <c r="AM406" s="194"/>
      <c r="AN406" s="194"/>
      <c r="AO406" s="194"/>
      <c r="AP406" s="194"/>
      <c r="AQ406" s="194"/>
    </row>
    <row r="407" spans="4:43" ht="20.25">
      <c r="D407" s="194"/>
      <c r="E407" s="194"/>
      <c r="F407" s="194"/>
      <c r="G407" s="194"/>
      <c r="H407" s="255"/>
      <c r="I407" s="204"/>
      <c r="J407" s="204"/>
      <c r="K407" s="204"/>
      <c r="L407" s="204"/>
      <c r="M407" s="216"/>
      <c r="N407" s="220"/>
      <c r="O407" s="220"/>
      <c r="P407" s="220"/>
      <c r="Q407" s="220"/>
      <c r="R407" s="220"/>
      <c r="S407" s="194"/>
      <c r="T407" s="194"/>
      <c r="U407" s="194"/>
      <c r="V407" s="194"/>
      <c r="W407" s="194"/>
      <c r="X407" s="194"/>
      <c r="Y407" s="194"/>
      <c r="Z407" s="194"/>
      <c r="AA407" s="194"/>
      <c r="AB407" s="194"/>
      <c r="AC407" s="194"/>
      <c r="AD407" s="194"/>
      <c r="AE407" s="194"/>
      <c r="AF407" s="194"/>
      <c r="AG407" s="194"/>
      <c r="AH407" s="194"/>
      <c r="AI407" s="194"/>
      <c r="AJ407" s="194"/>
      <c r="AK407" s="194"/>
      <c r="AL407" s="194"/>
      <c r="AM407" s="194"/>
      <c r="AN407" s="194"/>
      <c r="AO407" s="194"/>
      <c r="AP407" s="194"/>
      <c r="AQ407" s="194"/>
    </row>
    <row r="408" spans="4:43" ht="20.25">
      <c r="D408" s="194"/>
      <c r="E408" s="194"/>
      <c r="F408" s="194"/>
      <c r="G408" s="194"/>
      <c r="H408" s="255"/>
      <c r="I408" s="204"/>
      <c r="J408" s="204"/>
      <c r="K408" s="204"/>
      <c r="L408" s="204"/>
      <c r="M408" s="216"/>
      <c r="N408" s="220"/>
      <c r="O408" s="220"/>
      <c r="P408" s="220"/>
      <c r="Q408" s="220"/>
      <c r="R408" s="220"/>
      <c r="S408" s="194"/>
      <c r="T408" s="194"/>
      <c r="U408" s="194"/>
      <c r="V408" s="194"/>
      <c r="W408" s="194"/>
      <c r="X408" s="194"/>
      <c r="Y408" s="194"/>
      <c r="Z408" s="194"/>
      <c r="AA408" s="194"/>
      <c r="AB408" s="194"/>
      <c r="AC408" s="194"/>
      <c r="AD408" s="194"/>
      <c r="AE408" s="194"/>
      <c r="AF408" s="194"/>
      <c r="AG408" s="194"/>
      <c r="AH408" s="194"/>
      <c r="AI408" s="194"/>
      <c r="AJ408" s="194"/>
      <c r="AK408" s="194"/>
      <c r="AL408" s="194"/>
      <c r="AM408" s="194"/>
      <c r="AN408" s="194"/>
      <c r="AO408" s="194"/>
      <c r="AP408" s="194"/>
      <c r="AQ408" s="194"/>
    </row>
    <row r="409" spans="4:43" ht="20.25">
      <c r="D409" s="194"/>
      <c r="E409" s="194"/>
      <c r="F409" s="194"/>
      <c r="G409" s="194"/>
      <c r="H409" s="255"/>
      <c r="I409" s="204"/>
      <c r="J409" s="204"/>
      <c r="K409" s="204"/>
      <c r="L409" s="204"/>
      <c r="M409" s="216"/>
      <c r="N409" s="220"/>
      <c r="O409" s="220"/>
      <c r="P409" s="220"/>
      <c r="Q409" s="220"/>
      <c r="R409" s="220"/>
      <c r="S409" s="194"/>
      <c r="T409" s="194"/>
      <c r="U409" s="194"/>
      <c r="V409" s="194"/>
      <c r="W409" s="194"/>
      <c r="X409" s="194"/>
      <c r="Y409" s="194"/>
      <c r="Z409" s="194"/>
      <c r="AA409" s="194"/>
      <c r="AB409" s="194"/>
      <c r="AC409" s="194"/>
      <c r="AD409" s="194"/>
      <c r="AE409" s="194"/>
      <c r="AF409" s="194"/>
      <c r="AG409" s="194"/>
      <c r="AH409" s="194"/>
      <c r="AI409" s="194"/>
      <c r="AJ409" s="194"/>
      <c r="AK409" s="194"/>
      <c r="AL409" s="194"/>
      <c r="AM409" s="194"/>
      <c r="AN409" s="194"/>
      <c r="AO409" s="194"/>
      <c r="AP409" s="194"/>
      <c r="AQ409" s="194"/>
    </row>
    <row r="410" spans="4:43" ht="20.25">
      <c r="D410" s="194"/>
      <c r="E410" s="194"/>
      <c r="F410" s="194"/>
      <c r="G410" s="194"/>
      <c r="H410" s="255"/>
      <c r="I410" s="204"/>
      <c r="J410" s="204"/>
      <c r="K410" s="204"/>
      <c r="L410" s="204"/>
      <c r="M410" s="216"/>
      <c r="N410" s="220"/>
      <c r="O410" s="220"/>
      <c r="P410" s="220"/>
      <c r="Q410" s="220"/>
      <c r="R410" s="220"/>
      <c r="S410" s="194"/>
      <c r="T410" s="194"/>
      <c r="U410" s="194"/>
      <c r="V410" s="194"/>
      <c r="W410" s="194"/>
      <c r="X410" s="194"/>
      <c r="Y410" s="194"/>
      <c r="Z410" s="194"/>
      <c r="AA410" s="194"/>
      <c r="AB410" s="194"/>
      <c r="AC410" s="194"/>
      <c r="AD410" s="194"/>
      <c r="AE410" s="194"/>
      <c r="AF410" s="194"/>
      <c r="AG410" s="194"/>
      <c r="AH410" s="194"/>
      <c r="AI410" s="194"/>
      <c r="AJ410" s="194"/>
      <c r="AK410" s="194"/>
      <c r="AL410" s="194"/>
      <c r="AM410" s="194"/>
      <c r="AN410" s="194"/>
      <c r="AO410" s="194"/>
      <c r="AP410" s="194"/>
      <c r="AQ410" s="194"/>
    </row>
    <row r="411" spans="4:43" ht="20.25">
      <c r="D411" s="194"/>
      <c r="E411" s="194"/>
      <c r="F411" s="194"/>
      <c r="G411" s="194"/>
      <c r="H411" s="255"/>
      <c r="I411" s="204"/>
      <c r="J411" s="204"/>
      <c r="K411" s="204"/>
      <c r="L411" s="204"/>
      <c r="M411" s="216"/>
      <c r="N411" s="220"/>
      <c r="O411" s="220"/>
      <c r="P411" s="220"/>
      <c r="Q411" s="220"/>
      <c r="R411" s="220"/>
      <c r="S411" s="194"/>
      <c r="T411" s="194"/>
      <c r="U411" s="194"/>
      <c r="V411" s="194"/>
      <c r="W411" s="194"/>
      <c r="X411" s="194"/>
      <c r="Y411" s="194"/>
      <c r="Z411" s="194"/>
      <c r="AA411" s="194"/>
      <c r="AB411" s="194"/>
      <c r="AC411" s="194"/>
      <c r="AD411" s="194"/>
      <c r="AE411" s="194"/>
      <c r="AF411" s="194"/>
      <c r="AG411" s="194"/>
      <c r="AH411" s="194"/>
      <c r="AI411" s="194"/>
      <c r="AJ411" s="194"/>
      <c r="AK411" s="194"/>
      <c r="AL411" s="194"/>
      <c r="AM411" s="194"/>
      <c r="AN411" s="194"/>
      <c r="AO411" s="194"/>
      <c r="AP411" s="194"/>
      <c r="AQ411" s="194"/>
    </row>
    <row r="412" spans="4:43" ht="20.25">
      <c r="D412" s="194"/>
      <c r="E412" s="194"/>
      <c r="F412" s="194"/>
      <c r="G412" s="194"/>
      <c r="H412" s="255"/>
      <c r="I412" s="204"/>
      <c r="J412" s="204"/>
      <c r="K412" s="204"/>
      <c r="L412" s="204"/>
      <c r="M412" s="216"/>
      <c r="N412" s="220"/>
      <c r="O412" s="220"/>
      <c r="P412" s="220"/>
      <c r="Q412" s="220"/>
      <c r="R412" s="220"/>
      <c r="S412" s="194"/>
      <c r="T412" s="194"/>
      <c r="U412" s="194"/>
      <c r="V412" s="194"/>
      <c r="W412" s="194"/>
      <c r="X412" s="194"/>
      <c r="Y412" s="194"/>
      <c r="Z412" s="194"/>
      <c r="AA412" s="194"/>
      <c r="AB412" s="194"/>
      <c r="AC412" s="194"/>
      <c r="AD412" s="194"/>
      <c r="AE412" s="194"/>
      <c r="AF412" s="194"/>
      <c r="AG412" s="194"/>
      <c r="AH412" s="194"/>
      <c r="AI412" s="194"/>
      <c r="AJ412" s="194"/>
      <c r="AK412" s="194"/>
      <c r="AL412" s="194"/>
      <c r="AM412" s="194"/>
      <c r="AN412" s="194"/>
      <c r="AO412" s="194"/>
      <c r="AP412" s="194"/>
      <c r="AQ412" s="194"/>
    </row>
    <row r="413" spans="4:43" ht="20.25">
      <c r="D413" s="194"/>
      <c r="E413" s="194"/>
      <c r="F413" s="194"/>
      <c r="G413" s="194"/>
      <c r="H413" s="255"/>
      <c r="I413" s="204"/>
      <c r="J413" s="204"/>
      <c r="K413" s="204"/>
      <c r="L413" s="204"/>
      <c r="M413" s="216"/>
      <c r="N413" s="220"/>
      <c r="O413" s="220"/>
      <c r="P413" s="220"/>
      <c r="Q413" s="220"/>
      <c r="R413" s="220"/>
      <c r="S413" s="194"/>
      <c r="T413" s="194"/>
      <c r="U413" s="194"/>
      <c r="V413" s="194"/>
      <c r="W413" s="194"/>
      <c r="X413" s="194"/>
      <c r="Y413" s="194"/>
      <c r="Z413" s="194"/>
      <c r="AA413" s="194"/>
      <c r="AB413" s="194"/>
      <c r="AC413" s="194"/>
      <c r="AD413" s="194"/>
      <c r="AE413" s="194"/>
      <c r="AF413" s="194"/>
      <c r="AG413" s="194"/>
      <c r="AH413" s="194"/>
      <c r="AI413" s="194"/>
      <c r="AJ413" s="194"/>
      <c r="AK413" s="194"/>
      <c r="AL413" s="194"/>
      <c r="AM413" s="194"/>
      <c r="AN413" s="194"/>
      <c r="AO413" s="194"/>
      <c r="AP413" s="194"/>
      <c r="AQ413" s="194"/>
    </row>
    <row r="414" spans="4:43" ht="20.25">
      <c r="D414" s="194"/>
      <c r="E414" s="194"/>
      <c r="F414" s="194"/>
      <c r="G414" s="194"/>
      <c r="H414" s="255"/>
      <c r="I414" s="204"/>
      <c r="J414" s="204"/>
      <c r="K414" s="204"/>
      <c r="L414" s="204"/>
      <c r="M414" s="216"/>
      <c r="N414" s="220"/>
      <c r="O414" s="220"/>
      <c r="P414" s="220"/>
      <c r="Q414" s="220"/>
      <c r="R414" s="220"/>
      <c r="S414" s="194"/>
      <c r="T414" s="194"/>
      <c r="U414" s="194"/>
      <c r="V414" s="194"/>
      <c r="W414" s="194"/>
      <c r="X414" s="194"/>
      <c r="Y414" s="194"/>
      <c r="Z414" s="194"/>
      <c r="AA414" s="194"/>
      <c r="AB414" s="194"/>
      <c r="AC414" s="194"/>
      <c r="AD414" s="194"/>
      <c r="AE414" s="194"/>
      <c r="AF414" s="194"/>
      <c r="AG414" s="194"/>
      <c r="AH414" s="194"/>
      <c r="AI414" s="194"/>
      <c r="AJ414" s="194"/>
      <c r="AK414" s="194"/>
      <c r="AL414" s="194"/>
      <c r="AM414" s="194"/>
      <c r="AN414" s="194"/>
      <c r="AO414" s="194"/>
      <c r="AP414" s="194"/>
      <c r="AQ414" s="194"/>
    </row>
    <row r="415" spans="4:43" ht="20.25">
      <c r="D415" s="194"/>
      <c r="E415" s="194"/>
      <c r="F415" s="194"/>
      <c r="G415" s="194"/>
      <c r="H415" s="255"/>
      <c r="I415" s="204"/>
      <c r="J415" s="204"/>
      <c r="K415" s="204"/>
      <c r="L415" s="204"/>
      <c r="M415" s="216"/>
      <c r="N415" s="220"/>
      <c r="O415" s="220"/>
      <c r="P415" s="220"/>
      <c r="Q415" s="220"/>
      <c r="R415" s="220"/>
      <c r="S415" s="194"/>
      <c r="T415" s="194"/>
      <c r="U415" s="194"/>
      <c r="V415" s="194"/>
      <c r="W415" s="194"/>
      <c r="X415" s="194"/>
      <c r="Y415" s="194"/>
      <c r="Z415" s="194"/>
      <c r="AA415" s="194"/>
      <c r="AB415" s="194"/>
      <c r="AC415" s="194"/>
      <c r="AD415" s="194"/>
      <c r="AE415" s="194"/>
      <c r="AF415" s="194"/>
      <c r="AG415" s="194"/>
      <c r="AH415" s="194"/>
      <c r="AI415" s="194"/>
      <c r="AJ415" s="194"/>
      <c r="AK415" s="194"/>
      <c r="AL415" s="194"/>
      <c r="AM415" s="194"/>
      <c r="AN415" s="194"/>
      <c r="AO415" s="194"/>
      <c r="AP415" s="194"/>
      <c r="AQ415" s="194"/>
    </row>
    <row r="416" spans="4:43" ht="20.25">
      <c r="D416" s="194"/>
      <c r="E416" s="194"/>
      <c r="F416" s="194"/>
      <c r="G416" s="194"/>
      <c r="H416" s="255"/>
      <c r="I416" s="204"/>
      <c r="J416" s="204"/>
      <c r="K416" s="204"/>
      <c r="L416" s="204"/>
      <c r="M416" s="216"/>
      <c r="N416" s="220"/>
      <c r="O416" s="220"/>
      <c r="P416" s="220"/>
      <c r="Q416" s="220"/>
      <c r="R416" s="220"/>
      <c r="S416" s="194"/>
      <c r="T416" s="194"/>
      <c r="U416" s="194"/>
      <c r="V416" s="194"/>
      <c r="W416" s="194"/>
      <c r="X416" s="194"/>
      <c r="Y416" s="194"/>
      <c r="Z416" s="194"/>
      <c r="AA416" s="194"/>
      <c r="AB416" s="194"/>
      <c r="AC416" s="194"/>
      <c r="AD416" s="194"/>
      <c r="AE416" s="194"/>
      <c r="AF416" s="194"/>
      <c r="AG416" s="194"/>
      <c r="AH416" s="194"/>
      <c r="AI416" s="194"/>
      <c r="AJ416" s="194"/>
      <c r="AK416" s="194"/>
      <c r="AL416" s="194"/>
      <c r="AM416" s="194"/>
      <c r="AN416" s="194"/>
      <c r="AO416" s="194"/>
      <c r="AP416" s="194"/>
      <c r="AQ416" s="194"/>
    </row>
    <row r="417" spans="4:43" ht="20.25">
      <c r="D417" s="194"/>
      <c r="E417" s="194"/>
      <c r="F417" s="194"/>
      <c r="G417" s="194"/>
      <c r="H417" s="255"/>
      <c r="I417" s="204"/>
      <c r="J417" s="204"/>
      <c r="K417" s="204"/>
      <c r="L417" s="204"/>
      <c r="M417" s="216"/>
      <c r="N417" s="220"/>
      <c r="O417" s="220"/>
      <c r="P417" s="220"/>
      <c r="Q417" s="220"/>
      <c r="R417" s="220"/>
      <c r="S417" s="194"/>
      <c r="T417" s="194"/>
      <c r="U417" s="194"/>
      <c r="V417" s="194"/>
      <c r="W417" s="194"/>
      <c r="X417" s="194"/>
      <c r="Y417" s="194"/>
      <c r="Z417" s="194"/>
      <c r="AA417" s="194"/>
      <c r="AB417" s="194"/>
      <c r="AC417" s="194"/>
      <c r="AD417" s="194"/>
      <c r="AE417" s="194"/>
      <c r="AF417" s="194"/>
      <c r="AG417" s="194"/>
      <c r="AH417" s="194"/>
      <c r="AI417" s="194"/>
      <c r="AJ417" s="194"/>
      <c r="AK417" s="194"/>
      <c r="AL417" s="194"/>
      <c r="AM417" s="194"/>
      <c r="AN417" s="194"/>
      <c r="AO417" s="194"/>
      <c r="AP417" s="194"/>
      <c r="AQ417" s="194"/>
    </row>
    <row r="418" spans="4:43" ht="20.25">
      <c r="D418" s="194"/>
      <c r="E418" s="194"/>
      <c r="F418" s="194"/>
      <c r="G418" s="194"/>
      <c r="H418" s="255"/>
      <c r="I418" s="204"/>
      <c r="J418" s="204"/>
      <c r="K418" s="204"/>
      <c r="L418" s="204"/>
      <c r="M418" s="216"/>
      <c r="N418" s="220"/>
      <c r="O418" s="220"/>
      <c r="P418" s="220"/>
      <c r="Q418" s="220"/>
      <c r="R418" s="220"/>
      <c r="S418" s="194"/>
      <c r="T418" s="194"/>
      <c r="U418" s="194"/>
      <c r="V418" s="194"/>
      <c r="W418" s="194"/>
      <c r="X418" s="194"/>
      <c r="Y418" s="194"/>
      <c r="Z418" s="194"/>
      <c r="AA418" s="194"/>
      <c r="AB418" s="194"/>
      <c r="AC418" s="194"/>
      <c r="AD418" s="194"/>
      <c r="AE418" s="194"/>
      <c r="AF418" s="194"/>
      <c r="AG418" s="194"/>
      <c r="AH418" s="194"/>
      <c r="AI418" s="194"/>
      <c r="AJ418" s="194"/>
      <c r="AK418" s="194"/>
      <c r="AL418" s="194"/>
      <c r="AM418" s="194"/>
      <c r="AN418" s="194"/>
      <c r="AO418" s="194"/>
      <c r="AP418" s="194"/>
      <c r="AQ418" s="194"/>
    </row>
    <row r="419" spans="4:43" ht="20.25">
      <c r="D419" s="194"/>
      <c r="E419" s="194"/>
      <c r="F419" s="194"/>
      <c r="G419" s="194"/>
      <c r="H419" s="255"/>
      <c r="I419" s="204"/>
      <c r="J419" s="204"/>
      <c r="K419" s="204"/>
      <c r="L419" s="204"/>
      <c r="M419" s="216"/>
      <c r="N419" s="220"/>
      <c r="O419" s="220"/>
      <c r="P419" s="220"/>
      <c r="Q419" s="220"/>
      <c r="R419" s="220"/>
      <c r="S419" s="194"/>
      <c r="T419" s="194"/>
      <c r="U419" s="194"/>
      <c r="V419" s="194"/>
      <c r="W419" s="194"/>
      <c r="X419" s="194"/>
      <c r="Y419" s="194"/>
      <c r="Z419" s="194"/>
      <c r="AA419" s="194"/>
      <c r="AB419" s="194"/>
      <c r="AC419" s="194"/>
      <c r="AD419" s="194"/>
      <c r="AE419" s="194"/>
      <c r="AF419" s="194"/>
      <c r="AG419" s="194"/>
      <c r="AH419" s="194"/>
      <c r="AI419" s="194"/>
      <c r="AJ419" s="194"/>
      <c r="AK419" s="194"/>
      <c r="AL419" s="194"/>
      <c r="AM419" s="194"/>
      <c r="AN419" s="194"/>
      <c r="AO419" s="194"/>
      <c r="AP419" s="194"/>
      <c r="AQ419" s="194"/>
    </row>
    <row r="420" spans="4:43" ht="20.25">
      <c r="D420" s="194"/>
      <c r="E420" s="194"/>
      <c r="F420" s="194"/>
      <c r="G420" s="194"/>
      <c r="H420" s="255"/>
      <c r="I420" s="204"/>
      <c r="J420" s="204"/>
      <c r="K420" s="204"/>
      <c r="L420" s="204"/>
      <c r="M420" s="216"/>
      <c r="N420" s="220"/>
      <c r="O420" s="220"/>
      <c r="P420" s="220"/>
      <c r="Q420" s="220"/>
      <c r="R420" s="220"/>
      <c r="S420" s="194"/>
      <c r="T420" s="194"/>
      <c r="U420" s="194"/>
      <c r="V420" s="194"/>
      <c r="W420" s="194"/>
      <c r="X420" s="194"/>
      <c r="Y420" s="194"/>
      <c r="Z420" s="194"/>
      <c r="AA420" s="194"/>
      <c r="AB420" s="194"/>
      <c r="AC420" s="194"/>
      <c r="AD420" s="194"/>
      <c r="AE420" s="194"/>
      <c r="AF420" s="194"/>
      <c r="AG420" s="194"/>
      <c r="AH420" s="194"/>
      <c r="AI420" s="194"/>
      <c r="AJ420" s="194"/>
      <c r="AK420" s="194"/>
      <c r="AL420" s="194"/>
      <c r="AM420" s="194"/>
      <c r="AN420" s="194"/>
      <c r="AO420" s="194"/>
      <c r="AP420" s="194"/>
      <c r="AQ420" s="194"/>
    </row>
    <row r="421" spans="4:43" ht="20.25">
      <c r="D421" s="194"/>
      <c r="E421" s="194"/>
      <c r="F421" s="194"/>
      <c r="G421" s="194"/>
      <c r="H421" s="255"/>
      <c r="I421" s="204"/>
      <c r="J421" s="204"/>
      <c r="K421" s="204"/>
      <c r="L421" s="204"/>
      <c r="M421" s="216"/>
      <c r="N421" s="220"/>
      <c r="O421" s="220"/>
      <c r="P421" s="220"/>
      <c r="Q421" s="220"/>
      <c r="R421" s="220"/>
      <c r="S421" s="194"/>
      <c r="T421" s="194"/>
      <c r="U421" s="194"/>
      <c r="V421" s="194"/>
      <c r="W421" s="194"/>
      <c r="X421" s="194"/>
      <c r="Y421" s="194"/>
      <c r="Z421" s="194"/>
      <c r="AA421" s="194"/>
      <c r="AB421" s="194"/>
      <c r="AC421" s="194"/>
      <c r="AD421" s="194"/>
      <c r="AE421" s="194"/>
      <c r="AF421" s="194"/>
      <c r="AG421" s="194"/>
      <c r="AH421" s="194"/>
      <c r="AI421" s="194"/>
      <c r="AJ421" s="194"/>
      <c r="AK421" s="194"/>
      <c r="AL421" s="194"/>
      <c r="AM421" s="194"/>
      <c r="AN421" s="194"/>
      <c r="AO421" s="194"/>
      <c r="AP421" s="194"/>
      <c r="AQ421" s="194"/>
    </row>
    <row r="422" spans="4:43" ht="20.25">
      <c r="D422" s="194"/>
      <c r="E422" s="194"/>
      <c r="F422" s="194"/>
      <c r="G422" s="194"/>
      <c r="H422" s="255"/>
      <c r="I422" s="204"/>
      <c r="J422" s="204"/>
      <c r="K422" s="204"/>
      <c r="L422" s="204"/>
      <c r="M422" s="216"/>
      <c r="N422" s="220"/>
      <c r="O422" s="220"/>
      <c r="P422" s="220"/>
      <c r="Q422" s="220"/>
      <c r="R422" s="220"/>
      <c r="S422" s="194"/>
      <c r="T422" s="194"/>
      <c r="U422" s="194"/>
      <c r="V422" s="194"/>
      <c r="W422" s="194"/>
      <c r="X422" s="194"/>
      <c r="Y422" s="194"/>
      <c r="Z422" s="194"/>
      <c r="AA422" s="194"/>
      <c r="AB422" s="194"/>
      <c r="AC422" s="194"/>
      <c r="AD422" s="194"/>
      <c r="AE422" s="194"/>
      <c r="AF422" s="194"/>
      <c r="AG422" s="194"/>
      <c r="AH422" s="194"/>
      <c r="AI422" s="194"/>
      <c r="AJ422" s="194"/>
      <c r="AK422" s="194"/>
      <c r="AL422" s="194"/>
      <c r="AM422" s="194"/>
      <c r="AN422" s="194"/>
      <c r="AO422" s="194"/>
      <c r="AP422" s="194"/>
      <c r="AQ422" s="194"/>
    </row>
    <row r="423" spans="4:43" ht="20.25">
      <c r="D423" s="194"/>
      <c r="E423" s="194"/>
      <c r="F423" s="194"/>
      <c r="G423" s="194"/>
      <c r="H423" s="255"/>
      <c r="I423" s="204"/>
      <c r="J423" s="204"/>
      <c r="K423" s="204"/>
      <c r="L423" s="204"/>
      <c r="M423" s="216"/>
      <c r="N423" s="220"/>
      <c r="O423" s="220"/>
      <c r="P423" s="220"/>
      <c r="Q423" s="220"/>
      <c r="R423" s="220"/>
      <c r="S423" s="194"/>
      <c r="T423" s="194"/>
      <c r="U423" s="194"/>
      <c r="V423" s="194"/>
      <c r="W423" s="194"/>
      <c r="X423" s="194"/>
      <c r="Y423" s="194"/>
      <c r="Z423" s="194"/>
      <c r="AA423" s="194"/>
      <c r="AB423" s="194"/>
      <c r="AC423" s="194"/>
      <c r="AD423" s="194"/>
      <c r="AE423" s="194"/>
      <c r="AF423" s="194"/>
      <c r="AG423" s="194"/>
      <c r="AH423" s="194"/>
      <c r="AI423" s="194"/>
      <c r="AJ423" s="194"/>
      <c r="AK423" s="194"/>
      <c r="AL423" s="194"/>
      <c r="AM423" s="194"/>
      <c r="AN423" s="194"/>
      <c r="AO423" s="194"/>
      <c r="AP423" s="194"/>
      <c r="AQ423" s="194"/>
    </row>
    <row r="424" spans="4:43" ht="20.25">
      <c r="D424" s="194"/>
      <c r="E424" s="194"/>
      <c r="F424" s="194"/>
      <c r="G424" s="194"/>
      <c r="H424" s="255"/>
      <c r="I424" s="204"/>
      <c r="J424" s="204"/>
      <c r="K424" s="204"/>
      <c r="L424" s="204"/>
      <c r="M424" s="216"/>
      <c r="N424" s="220"/>
      <c r="O424" s="220"/>
      <c r="P424" s="220"/>
      <c r="Q424" s="220"/>
      <c r="R424" s="220"/>
      <c r="S424" s="194"/>
      <c r="T424" s="194"/>
      <c r="U424" s="194"/>
      <c r="V424" s="194"/>
      <c r="W424" s="194"/>
      <c r="X424" s="194"/>
      <c r="Y424" s="194"/>
      <c r="Z424" s="194"/>
      <c r="AA424" s="194"/>
      <c r="AB424" s="194"/>
      <c r="AC424" s="194"/>
      <c r="AD424" s="194"/>
      <c r="AE424" s="194"/>
      <c r="AF424" s="194"/>
      <c r="AG424" s="194"/>
      <c r="AH424" s="194"/>
      <c r="AI424" s="194"/>
      <c r="AJ424" s="194"/>
      <c r="AK424" s="194"/>
      <c r="AL424" s="194"/>
      <c r="AM424" s="194"/>
      <c r="AN424" s="194"/>
      <c r="AO424" s="194"/>
      <c r="AP424" s="194"/>
      <c r="AQ424" s="194"/>
    </row>
    <row r="425" spans="4:43" ht="20.25">
      <c r="D425" s="194"/>
      <c r="E425" s="194"/>
      <c r="F425" s="194"/>
      <c r="G425" s="194"/>
      <c r="H425" s="255"/>
      <c r="I425" s="204"/>
      <c r="J425" s="204"/>
      <c r="K425" s="204"/>
      <c r="L425" s="204"/>
      <c r="M425" s="216"/>
      <c r="N425" s="220"/>
      <c r="O425" s="220"/>
      <c r="P425" s="220"/>
      <c r="Q425" s="220"/>
      <c r="R425" s="220"/>
      <c r="S425" s="194"/>
      <c r="T425" s="194"/>
      <c r="U425" s="194"/>
      <c r="V425" s="194"/>
      <c r="W425" s="194"/>
      <c r="X425" s="194"/>
      <c r="Y425" s="194"/>
      <c r="Z425" s="194"/>
      <c r="AA425" s="194"/>
      <c r="AB425" s="194"/>
      <c r="AC425" s="194"/>
      <c r="AD425" s="194"/>
      <c r="AE425" s="194"/>
      <c r="AF425" s="194"/>
      <c r="AG425" s="194"/>
      <c r="AH425" s="194"/>
      <c r="AI425" s="194"/>
      <c r="AJ425" s="194"/>
      <c r="AK425" s="194"/>
      <c r="AL425" s="194"/>
      <c r="AM425" s="194"/>
      <c r="AN425" s="194"/>
      <c r="AO425" s="194"/>
      <c r="AP425" s="194"/>
      <c r="AQ425" s="194"/>
    </row>
    <row r="426" spans="4:43" ht="20.25">
      <c r="D426" s="194"/>
      <c r="E426" s="194"/>
      <c r="F426" s="194"/>
      <c r="G426" s="194"/>
      <c r="H426" s="255"/>
      <c r="I426" s="204"/>
      <c r="J426" s="204"/>
      <c r="K426" s="204"/>
      <c r="L426" s="204"/>
      <c r="M426" s="216"/>
      <c r="N426" s="220"/>
      <c r="O426" s="220"/>
      <c r="P426" s="220"/>
      <c r="Q426" s="220"/>
      <c r="R426" s="220"/>
      <c r="S426" s="194"/>
      <c r="T426" s="194"/>
      <c r="U426" s="194"/>
      <c r="V426" s="194"/>
      <c r="W426" s="194"/>
      <c r="X426" s="194"/>
      <c r="Y426" s="194"/>
      <c r="Z426" s="194"/>
      <c r="AA426" s="194"/>
      <c r="AB426" s="194"/>
      <c r="AC426" s="194"/>
      <c r="AD426" s="194"/>
      <c r="AE426" s="194"/>
      <c r="AF426" s="194"/>
      <c r="AG426" s="194"/>
      <c r="AH426" s="194"/>
      <c r="AI426" s="194"/>
      <c r="AJ426" s="194"/>
      <c r="AK426" s="194"/>
      <c r="AL426" s="194"/>
      <c r="AM426" s="194"/>
      <c r="AN426" s="194"/>
      <c r="AO426" s="194"/>
      <c r="AP426" s="194"/>
      <c r="AQ426" s="194"/>
    </row>
    <row r="427" spans="4:43" ht="20.25">
      <c r="D427" s="194"/>
      <c r="E427" s="194"/>
      <c r="F427" s="194"/>
      <c r="G427" s="194"/>
      <c r="H427" s="255"/>
      <c r="I427" s="204"/>
      <c r="J427" s="204"/>
      <c r="K427" s="204"/>
      <c r="L427" s="204"/>
      <c r="M427" s="216"/>
      <c r="N427" s="220"/>
      <c r="O427" s="220"/>
      <c r="P427" s="220"/>
      <c r="Q427" s="220"/>
      <c r="R427" s="220"/>
      <c r="S427" s="194"/>
      <c r="T427" s="194"/>
      <c r="U427" s="194"/>
      <c r="V427" s="194"/>
      <c r="W427" s="194"/>
      <c r="X427" s="194"/>
      <c r="Y427" s="194"/>
      <c r="Z427" s="194"/>
      <c r="AA427" s="194"/>
      <c r="AB427" s="194"/>
      <c r="AC427" s="194"/>
      <c r="AD427" s="194"/>
      <c r="AE427" s="194"/>
      <c r="AF427" s="194"/>
      <c r="AG427" s="194"/>
      <c r="AH427" s="194"/>
      <c r="AI427" s="194"/>
      <c r="AJ427" s="194"/>
      <c r="AK427" s="194"/>
      <c r="AL427" s="194"/>
      <c r="AM427" s="194"/>
      <c r="AN427" s="194"/>
      <c r="AO427" s="194"/>
      <c r="AP427" s="194"/>
      <c r="AQ427" s="194"/>
    </row>
    <row r="428" spans="4:43" ht="20.25">
      <c r="D428" s="194"/>
      <c r="E428" s="194"/>
      <c r="F428" s="194"/>
      <c r="G428" s="194"/>
      <c r="H428" s="255"/>
      <c r="I428" s="204"/>
      <c r="J428" s="204"/>
      <c r="K428" s="204"/>
      <c r="L428" s="204"/>
      <c r="M428" s="216"/>
      <c r="N428" s="220"/>
      <c r="O428" s="220"/>
      <c r="P428" s="220"/>
      <c r="Q428" s="220"/>
      <c r="R428" s="220"/>
      <c r="S428" s="194"/>
      <c r="T428" s="194"/>
      <c r="U428" s="194"/>
      <c r="V428" s="194"/>
      <c r="W428" s="194"/>
      <c r="X428" s="194"/>
      <c r="Y428" s="194"/>
      <c r="Z428" s="194"/>
      <c r="AA428" s="194"/>
      <c r="AB428" s="194"/>
      <c r="AC428" s="194"/>
      <c r="AD428" s="194"/>
      <c r="AE428" s="194"/>
      <c r="AF428" s="194"/>
      <c r="AG428" s="194"/>
      <c r="AH428" s="194"/>
      <c r="AI428" s="194"/>
      <c r="AJ428" s="194"/>
      <c r="AK428" s="194"/>
      <c r="AL428" s="194"/>
      <c r="AM428" s="194"/>
      <c r="AN428" s="194"/>
      <c r="AO428" s="194"/>
      <c r="AP428" s="194"/>
      <c r="AQ428" s="194"/>
    </row>
    <row r="429" spans="4:43" ht="20.25">
      <c r="D429" s="194"/>
      <c r="E429" s="194"/>
      <c r="F429" s="194"/>
      <c r="G429" s="194"/>
      <c r="H429" s="255"/>
      <c r="I429" s="204"/>
      <c r="J429" s="204"/>
      <c r="K429" s="204"/>
      <c r="L429" s="204"/>
      <c r="M429" s="216"/>
      <c r="N429" s="220"/>
      <c r="O429" s="220"/>
      <c r="P429" s="220"/>
      <c r="Q429" s="220"/>
      <c r="R429" s="220"/>
      <c r="S429" s="194"/>
      <c r="T429" s="194"/>
      <c r="U429" s="194"/>
      <c r="V429" s="194"/>
      <c r="W429" s="194"/>
      <c r="X429" s="194"/>
      <c r="Y429" s="194"/>
      <c r="Z429" s="194"/>
      <c r="AA429" s="194"/>
      <c r="AB429" s="194"/>
      <c r="AC429" s="194"/>
      <c r="AD429" s="194"/>
      <c r="AE429" s="194"/>
      <c r="AF429" s="194"/>
      <c r="AG429" s="194"/>
      <c r="AH429" s="194"/>
      <c r="AI429" s="194"/>
      <c r="AJ429" s="194"/>
      <c r="AK429" s="194"/>
      <c r="AL429" s="194"/>
      <c r="AM429" s="194"/>
      <c r="AN429" s="194"/>
      <c r="AO429" s="194"/>
      <c r="AP429" s="194"/>
      <c r="AQ429" s="194"/>
    </row>
    <row r="430" spans="4:43" ht="20.25">
      <c r="D430" s="194"/>
      <c r="E430" s="194"/>
      <c r="F430" s="194"/>
      <c r="G430" s="194"/>
      <c r="H430" s="255"/>
      <c r="I430" s="204"/>
      <c r="J430" s="204"/>
      <c r="K430" s="204"/>
      <c r="L430" s="204"/>
      <c r="M430" s="216"/>
      <c r="N430" s="220"/>
      <c r="O430" s="220"/>
      <c r="P430" s="220"/>
      <c r="Q430" s="220"/>
      <c r="R430" s="220"/>
      <c r="S430" s="194"/>
      <c r="T430" s="194"/>
      <c r="U430" s="194"/>
      <c r="V430" s="194"/>
      <c r="W430" s="194"/>
      <c r="X430" s="194"/>
      <c r="Y430" s="194"/>
      <c r="Z430" s="194"/>
      <c r="AA430" s="194"/>
      <c r="AB430" s="194"/>
      <c r="AC430" s="194"/>
      <c r="AD430" s="194"/>
      <c r="AE430" s="194"/>
      <c r="AF430" s="194"/>
      <c r="AG430" s="194"/>
      <c r="AH430" s="194"/>
      <c r="AI430" s="194"/>
      <c r="AJ430" s="194"/>
      <c r="AK430" s="194"/>
      <c r="AL430" s="194"/>
      <c r="AM430" s="194"/>
      <c r="AN430" s="194"/>
      <c r="AO430" s="194"/>
      <c r="AP430" s="194"/>
      <c r="AQ430" s="194"/>
    </row>
    <row r="431" spans="4:43" ht="20.25">
      <c r="D431" s="194"/>
      <c r="E431" s="194"/>
      <c r="F431" s="194"/>
      <c r="G431" s="194"/>
      <c r="H431" s="255"/>
      <c r="I431" s="204"/>
      <c r="J431" s="204"/>
      <c r="K431" s="204"/>
      <c r="L431" s="204"/>
      <c r="M431" s="216"/>
      <c r="N431" s="220"/>
      <c r="O431" s="220"/>
      <c r="P431" s="220"/>
      <c r="Q431" s="220"/>
      <c r="R431" s="220"/>
      <c r="S431" s="194"/>
      <c r="T431" s="194"/>
      <c r="U431" s="194"/>
      <c r="V431" s="194"/>
      <c r="W431" s="194"/>
      <c r="X431" s="194"/>
      <c r="Y431" s="194"/>
      <c r="Z431" s="194"/>
      <c r="AA431" s="194"/>
      <c r="AB431" s="194"/>
      <c r="AC431" s="194"/>
      <c r="AD431" s="194"/>
      <c r="AE431" s="194"/>
      <c r="AF431" s="194"/>
      <c r="AG431" s="194"/>
      <c r="AH431" s="194"/>
      <c r="AI431" s="194"/>
      <c r="AJ431" s="194"/>
      <c r="AK431" s="194"/>
      <c r="AL431" s="194"/>
      <c r="AM431" s="194"/>
      <c r="AN431" s="194"/>
      <c r="AO431" s="194"/>
      <c r="AP431" s="194"/>
      <c r="AQ431" s="194"/>
    </row>
    <row r="432" spans="4:43" ht="20.25">
      <c r="D432" s="194"/>
      <c r="E432" s="194"/>
      <c r="F432" s="194"/>
      <c r="G432" s="194"/>
      <c r="H432" s="255"/>
      <c r="I432" s="204"/>
      <c r="J432" s="204"/>
      <c r="K432" s="204"/>
      <c r="L432" s="204"/>
      <c r="M432" s="216"/>
      <c r="N432" s="220"/>
      <c r="O432" s="220"/>
      <c r="P432" s="220"/>
      <c r="Q432" s="220"/>
      <c r="R432" s="220"/>
      <c r="S432" s="194"/>
      <c r="T432" s="194"/>
      <c r="U432" s="194"/>
      <c r="V432" s="194"/>
      <c r="W432" s="194"/>
      <c r="X432" s="194"/>
      <c r="Y432" s="194"/>
      <c r="Z432" s="194"/>
      <c r="AA432" s="194"/>
      <c r="AB432" s="194"/>
      <c r="AC432" s="194"/>
      <c r="AD432" s="194"/>
      <c r="AE432" s="194"/>
      <c r="AF432" s="194"/>
      <c r="AG432" s="194"/>
      <c r="AH432" s="194"/>
      <c r="AI432" s="194"/>
      <c r="AJ432" s="194"/>
      <c r="AK432" s="194"/>
      <c r="AL432" s="194"/>
      <c r="AM432" s="194"/>
      <c r="AN432" s="194"/>
      <c r="AO432" s="194"/>
      <c r="AP432" s="194"/>
      <c r="AQ432" s="194"/>
    </row>
  </sheetData>
  <conditionalFormatting sqref="A8:C8 AQ8">
    <cfRule type="cellIs" dxfId="106" priority="4" operator="notEqual">
      <formula>1</formula>
    </cfRule>
  </conditionalFormatting>
  <conditionalFormatting sqref="D8:D1378">
    <cfRule type="expression" dxfId="105" priority="3">
      <formula>LEN($D8)&gt;5</formula>
    </cfRule>
  </conditionalFormatting>
  <conditionalFormatting sqref="J8:J1378">
    <cfRule type="expression" dxfId="104" priority="2">
      <formula>LEN($J8)&gt;20</formula>
    </cfRule>
  </conditionalFormatting>
  <conditionalFormatting sqref="K8:K1378">
    <cfRule type="expression" dxfId="103" priority="1">
      <formula>LEN($K8)&gt;15</formula>
    </cfRule>
  </conditionalFormatting>
  <conditionalFormatting sqref="G9:G1378">
    <cfRule type="duplicateValues" dxfId="102" priority="269"/>
    <cfRule type="expression" dxfId="101" priority="270">
      <formula>AND(LEN($G9)&lt;12,LEN($G9)&gt;=1)</formula>
    </cfRule>
    <cfRule type="expression" dxfId="100" priority="271">
      <formula>LEN($G9)&gt;12</formula>
    </cfRule>
  </conditionalFormatting>
  <dataValidations count="2">
    <dataValidation type="decimal" operator="notEqual" allowBlank="1" showInputMessage="1" showErrorMessage="1" errorTitle="Falscheingabe" error="Nur Dezimalzahlen zulässig!" sqref="L8:M8">
      <formula1>0</formula1>
    </dataValidation>
    <dataValidation type="whole" operator="notEqual" allowBlank="1" showInputMessage="1" showErrorMessage="1" errorTitle="Falscheingabe" error="Nur ganze Zahlen!" sqref="H8">
      <formula1>0</formula1>
    </dataValidation>
  </dataValidations>
  <pageMargins left="0.25" right="0.25" top="0.75" bottom="0.75" header="0.3" footer="0.3"/>
  <pageSetup paperSize="9" scale="61" firstPageNumber="2" fitToHeight="0" orientation="landscape" useFirstPageNumber="1" r:id="rId1"/>
  <headerFooter>
    <oddHeader>&amp;R&amp;G</oddHeader>
    <oddFooter>Seite &amp;P von &amp;N</oddFooter>
  </headerFooter>
  <rowBreaks count="1" manualBreakCount="1">
    <brk id="2" max="16383" man="1"/>
  </rowBreaks>
  <legacyDrawing r:id="rId2"/>
  <legacyDrawingHF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Hilfstabellen!$E$4:$E$5</xm:f>
          </x14:formula1>
          <xm:sqref>O8</xm:sqref>
        </x14:dataValidation>
        <x14:dataValidation type="list" allowBlank="1" showInputMessage="1" showErrorMessage="1">
          <x14:formula1>
            <xm:f>Hilfstabellen!$F$17</xm:f>
          </x14:formula1>
          <xm:sqref>AE8:AN8 W8 AB8:AC8 X8:AA8</xm:sqref>
        </x14:dataValidation>
        <x14:dataValidation type="list" allowBlank="1" showInputMessage="1" showErrorMessage="1" errorTitle="falsche Nutzungsart" error="Acker:A_x000a_Grünland: W_x000a_Obst: O_x000a_Rebe: R_x000a_Hopfen: H_x000a_Übrige: U">
          <x14:formula1>
            <xm:f>Hilfstabellen!$A$4:$A$9</xm:f>
          </x14:formula1>
          <xm:sqref>N8</xm:sqref>
        </x14:dataValidation>
        <x14:dataValidation type="list" allowBlank="1" showInputMessage="1" showErrorMessage="1" error="Bitte Codes aus Blatt &quot;Einstellungen+Makro&quot; verwenden">
          <x14:formula1>
            <xm:f>'Einstellungen+Makro'!$A$20:$A$92</xm:f>
          </x14:formula1>
          <xm:sqref>S8:T8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1"/>
  </sheetPr>
  <dimension ref="A1:GB19"/>
  <sheetViews>
    <sheetView zoomScale="70" zoomScaleNormal="70" workbookViewId="0"/>
  </sheetViews>
  <sheetFormatPr baseColWidth="10" defaultRowHeight="15"/>
  <cols>
    <col min="2" max="2" width="18.28515625" customWidth="1"/>
    <col min="3" max="3" width="14.42578125" customWidth="1"/>
    <col min="4" max="4" width="11.28515625" customWidth="1"/>
    <col min="10" max="19" width="8.85546875" customWidth="1"/>
    <col min="48" max="48" width="11" customWidth="1"/>
    <col min="62" max="62" width="12.28515625" customWidth="1"/>
    <col min="64" max="64" width="13.140625" customWidth="1"/>
    <col min="73" max="73" width="12.42578125" customWidth="1"/>
    <col min="74" max="76" width="11.85546875" customWidth="1"/>
    <col min="84" max="85" width="11.28515625" customWidth="1"/>
    <col min="86" max="86" width="11.7109375" customWidth="1"/>
    <col min="88" max="88" width="11.42578125" customWidth="1"/>
    <col min="98" max="98" width="11.28515625" customWidth="1"/>
    <col min="104" max="104" width="12.140625" customWidth="1"/>
    <col min="105" max="105" width="11.85546875" customWidth="1"/>
    <col min="114" max="114" width="13" customWidth="1"/>
    <col min="115" max="115" width="11.7109375" customWidth="1"/>
    <col min="118" max="119" width="14.5703125" customWidth="1"/>
    <col min="131" max="131" width="12.7109375" customWidth="1"/>
    <col min="132" max="132" width="12.42578125" customWidth="1"/>
    <col min="142" max="142" width="13" customWidth="1"/>
    <col min="146" max="146" width="15" customWidth="1"/>
    <col min="149" max="149" width="12.5703125" customWidth="1"/>
    <col min="154" max="154" width="11.28515625" customWidth="1"/>
  </cols>
  <sheetData>
    <row r="1" spans="1:184">
      <c r="A1" s="2" t="s">
        <v>323</v>
      </c>
      <c r="B1" s="3" t="s">
        <v>2</v>
      </c>
      <c r="C1" s="80" t="s">
        <v>92</v>
      </c>
      <c r="D1" s="80" t="s">
        <v>324</v>
      </c>
      <c r="E1" s="80" t="s">
        <v>87</v>
      </c>
      <c r="F1" s="80" t="s">
        <v>325</v>
      </c>
      <c r="G1" s="80"/>
      <c r="H1" s="80" t="s">
        <v>94</v>
      </c>
      <c r="I1" s="80" t="s">
        <v>326</v>
      </c>
      <c r="J1" s="80" t="s">
        <v>327</v>
      </c>
      <c r="K1" s="4"/>
      <c r="L1" s="4"/>
      <c r="M1" s="4"/>
      <c r="N1" s="4"/>
      <c r="O1" s="4"/>
    </row>
    <row r="2" spans="1:184">
      <c r="A2" s="2" t="s">
        <v>138</v>
      </c>
      <c r="B2" s="3"/>
      <c r="C2" s="81"/>
      <c r="D2" s="82" t="s">
        <v>962</v>
      </c>
      <c r="E2" s="83" t="s">
        <v>973</v>
      </c>
      <c r="F2" s="84"/>
      <c r="G2" s="85"/>
      <c r="H2" s="86"/>
      <c r="I2" s="84"/>
      <c r="J2" s="32"/>
    </row>
    <row r="3" spans="1:184">
      <c r="A3" s="2" t="s">
        <v>323</v>
      </c>
      <c r="B3" s="6" t="s">
        <v>328</v>
      </c>
      <c r="C3" s="80" t="s">
        <v>329</v>
      </c>
      <c r="D3" s="80" t="s">
        <v>330</v>
      </c>
      <c r="E3" s="80" t="s">
        <v>9</v>
      </c>
      <c r="F3" s="80" t="s">
        <v>10</v>
      </c>
      <c r="G3" s="80" t="s">
        <v>11</v>
      </c>
      <c r="H3" s="80" t="s">
        <v>12</v>
      </c>
      <c r="I3" s="80" t="s">
        <v>13</v>
      </c>
      <c r="J3" s="80" t="s">
        <v>14</v>
      </c>
      <c r="K3" s="80" t="s">
        <v>15</v>
      </c>
      <c r="L3" s="80" t="s">
        <v>16</v>
      </c>
      <c r="M3" s="80" t="s">
        <v>17</v>
      </c>
      <c r="N3" s="80" t="s">
        <v>18</v>
      </c>
      <c r="O3" s="87" t="s">
        <v>331</v>
      </c>
      <c r="P3" s="80" t="s">
        <v>869</v>
      </c>
      <c r="V3" s="4"/>
      <c r="W3" s="4"/>
      <c r="X3" s="4"/>
      <c r="Y3" s="4"/>
      <c r="Z3" s="4"/>
    </row>
    <row r="4" spans="1:184">
      <c r="A4" s="2" t="s">
        <v>920</v>
      </c>
      <c r="B4" s="7"/>
      <c r="C4" s="5"/>
      <c r="D4" s="8"/>
      <c r="E4" s="8"/>
      <c r="F4" s="9"/>
      <c r="G4" s="8"/>
      <c r="H4" s="8"/>
      <c r="I4" s="8"/>
      <c r="J4" s="8"/>
      <c r="K4" s="5"/>
      <c r="L4" s="8"/>
      <c r="M4" s="8"/>
      <c r="N4" s="8"/>
      <c r="O4" s="8"/>
      <c r="P4" s="88"/>
      <c r="V4" s="10"/>
      <c r="W4" s="10"/>
      <c r="X4" s="10"/>
      <c r="Y4" s="10"/>
      <c r="Z4" s="10"/>
    </row>
    <row r="5" spans="1:184">
      <c r="A5" s="2" t="s">
        <v>323</v>
      </c>
      <c r="B5" s="6" t="s">
        <v>4</v>
      </c>
      <c r="C5" s="80" t="s">
        <v>332</v>
      </c>
      <c r="D5" s="80" t="s">
        <v>333</v>
      </c>
      <c r="E5" s="80" t="s">
        <v>9</v>
      </c>
      <c r="F5" s="80" t="s">
        <v>10</v>
      </c>
      <c r="G5" s="80" t="s">
        <v>11</v>
      </c>
      <c r="H5" s="80" t="s">
        <v>12</v>
      </c>
      <c r="I5" s="80" t="s">
        <v>13</v>
      </c>
      <c r="J5" s="80" t="s">
        <v>14</v>
      </c>
      <c r="K5" s="80" t="s">
        <v>15</v>
      </c>
      <c r="L5" s="80" t="s">
        <v>16</v>
      </c>
      <c r="M5" s="80" t="s">
        <v>17</v>
      </c>
      <c r="N5" s="80" t="s">
        <v>18</v>
      </c>
      <c r="O5" s="87" t="s">
        <v>331</v>
      </c>
      <c r="P5" s="80" t="s">
        <v>869</v>
      </c>
      <c r="V5" s="10"/>
      <c r="W5" s="10"/>
      <c r="X5" s="10"/>
      <c r="Y5" s="10"/>
      <c r="Z5" s="10"/>
    </row>
    <row r="6" spans="1:184">
      <c r="A6" s="2" t="s">
        <v>921</v>
      </c>
      <c r="B6" s="89"/>
      <c r="C6" s="8"/>
      <c r="D6" s="8"/>
      <c r="E6" s="8"/>
      <c r="F6" s="9"/>
      <c r="G6" s="8"/>
      <c r="H6" s="8"/>
      <c r="I6" s="8"/>
      <c r="J6" s="8"/>
      <c r="K6" s="5"/>
      <c r="L6" s="8"/>
      <c r="M6" s="8"/>
      <c r="N6" s="8"/>
      <c r="O6" s="8"/>
      <c r="P6" s="88"/>
      <c r="V6" s="10"/>
      <c r="W6" s="10"/>
      <c r="X6" s="90"/>
      <c r="Y6" s="90"/>
      <c r="Z6" s="91"/>
      <c r="AA6" s="91"/>
      <c r="AB6" s="91"/>
      <c r="AC6" s="91"/>
      <c r="AD6" s="91"/>
      <c r="AE6" s="91"/>
      <c r="AF6" s="91"/>
      <c r="AG6" s="91"/>
      <c r="AH6" s="91"/>
      <c r="AI6" s="11"/>
    </row>
    <row r="7" spans="1:184">
      <c r="A7" s="2" t="s">
        <v>323</v>
      </c>
      <c r="B7" s="12" t="s">
        <v>334</v>
      </c>
      <c r="C7" s="80" t="s">
        <v>335</v>
      </c>
      <c r="D7" s="80" t="s">
        <v>336</v>
      </c>
      <c r="E7" s="80" t="s">
        <v>337</v>
      </c>
      <c r="F7" s="80" t="s">
        <v>338</v>
      </c>
      <c r="G7" s="80" t="s">
        <v>91</v>
      </c>
      <c r="H7" s="80" t="s">
        <v>339</v>
      </c>
      <c r="I7" s="80" t="s">
        <v>864</v>
      </c>
      <c r="J7" s="107" t="s">
        <v>865</v>
      </c>
      <c r="K7" s="107" t="s">
        <v>937</v>
      </c>
      <c r="L7" s="93"/>
      <c r="M7" s="93"/>
      <c r="N7" s="92"/>
      <c r="O7" s="92"/>
      <c r="V7" s="10"/>
      <c r="W7" s="10"/>
      <c r="X7" s="13"/>
      <c r="Y7" s="13"/>
      <c r="Z7" s="13"/>
      <c r="AA7" s="13"/>
      <c r="AB7" s="13"/>
      <c r="AC7" s="13"/>
      <c r="AD7" s="13"/>
      <c r="AE7" s="13"/>
      <c r="AF7" s="13"/>
    </row>
    <row r="8" spans="1:184">
      <c r="A8" s="2" t="s">
        <v>922</v>
      </c>
      <c r="B8" s="12"/>
      <c r="C8" s="81"/>
      <c r="D8" s="81"/>
      <c r="E8" s="81"/>
      <c r="F8" s="81"/>
      <c r="G8" s="81"/>
      <c r="H8" s="81"/>
      <c r="I8" s="79"/>
      <c r="J8" s="106"/>
      <c r="K8" s="106"/>
      <c r="V8" s="10"/>
      <c r="W8" s="10"/>
    </row>
    <row r="9" spans="1:184">
      <c r="A9" s="2" t="s">
        <v>340</v>
      </c>
      <c r="B9" s="12" t="s">
        <v>923</v>
      </c>
      <c r="C9" s="15"/>
      <c r="D9" s="50"/>
      <c r="E9" s="50"/>
      <c r="F9" s="51"/>
      <c r="V9" s="10"/>
      <c r="W9" s="10"/>
      <c r="X9" s="16"/>
      <c r="Y9" s="16"/>
      <c r="Z9" s="16"/>
      <c r="AA9" s="16"/>
      <c r="AB9" s="16"/>
      <c r="AC9" s="16"/>
      <c r="AD9" s="16"/>
      <c r="AE9" s="16"/>
      <c r="AF9" s="16"/>
    </row>
    <row r="10" spans="1:184">
      <c r="A10" s="2" t="s">
        <v>323</v>
      </c>
      <c r="B10" s="12" t="s">
        <v>24</v>
      </c>
      <c r="C10" s="80" t="s">
        <v>341</v>
      </c>
      <c r="D10" s="80" t="s">
        <v>342</v>
      </c>
      <c r="E10" s="80" t="s">
        <v>343</v>
      </c>
      <c r="F10" s="80" t="s">
        <v>30</v>
      </c>
      <c r="G10" s="80" t="s">
        <v>31</v>
      </c>
      <c r="H10" s="80" t="s">
        <v>33</v>
      </c>
      <c r="I10" s="80" t="s">
        <v>35</v>
      </c>
      <c r="J10" s="80" t="s">
        <v>38</v>
      </c>
      <c r="K10" s="80" t="s">
        <v>344</v>
      </c>
      <c r="L10" s="80" t="s">
        <v>345</v>
      </c>
      <c r="M10" s="80" t="s">
        <v>44</v>
      </c>
      <c r="N10" s="87" t="s">
        <v>346</v>
      </c>
      <c r="O10" s="80" t="s">
        <v>887</v>
      </c>
      <c r="P10" s="80" t="s">
        <v>945</v>
      </c>
      <c r="Q10" s="80" t="s">
        <v>946</v>
      </c>
      <c r="R10" s="80" t="s">
        <v>888</v>
      </c>
      <c r="AB10" s="10"/>
      <c r="AC10" s="10"/>
      <c r="AD10" s="10"/>
      <c r="AE10" s="10"/>
      <c r="AF10" s="10"/>
    </row>
    <row r="11" spans="1:184">
      <c r="A11" s="2" t="s">
        <v>924</v>
      </c>
      <c r="B11" s="14"/>
      <c r="C11" s="81"/>
      <c r="D11" s="81"/>
      <c r="E11" s="81"/>
      <c r="F11" s="81"/>
      <c r="G11" s="94"/>
      <c r="H11" s="81"/>
      <c r="I11" s="81"/>
      <c r="J11" s="81"/>
      <c r="K11" s="81"/>
      <c r="L11" s="81"/>
      <c r="M11" s="81"/>
      <c r="N11" s="95"/>
      <c r="O11" s="106"/>
      <c r="P11" s="106"/>
      <c r="Q11" s="106"/>
      <c r="R11" s="106"/>
      <c r="AB11" s="10"/>
      <c r="AC11" s="10"/>
      <c r="AD11" s="10"/>
      <c r="AE11" s="10"/>
      <c r="AF11" s="10"/>
    </row>
    <row r="12" spans="1:184">
      <c r="A12" s="2" t="s">
        <v>323</v>
      </c>
      <c r="B12" s="12" t="s">
        <v>28</v>
      </c>
      <c r="C12" s="80" t="s">
        <v>347</v>
      </c>
      <c r="D12" s="80" t="s">
        <v>348</v>
      </c>
      <c r="E12" s="80" t="s">
        <v>349</v>
      </c>
      <c r="F12" s="80" t="s">
        <v>350</v>
      </c>
      <c r="G12" s="80" t="s">
        <v>351</v>
      </c>
      <c r="H12" s="80" t="s">
        <v>352</v>
      </c>
      <c r="I12" s="80" t="s">
        <v>353</v>
      </c>
      <c r="J12" s="80" t="s">
        <v>354</v>
      </c>
      <c r="K12" s="80" t="s">
        <v>355</v>
      </c>
      <c r="L12" s="80" t="s">
        <v>356</v>
      </c>
      <c r="M12" s="80" t="s">
        <v>357</v>
      </c>
      <c r="N12" s="80" t="s">
        <v>358</v>
      </c>
      <c r="O12" s="114" t="s">
        <v>359</v>
      </c>
      <c r="P12" s="114" t="s">
        <v>360</v>
      </c>
    </row>
    <row r="13" spans="1:184" s="11" customFormat="1">
      <c r="A13" s="18" t="s">
        <v>925</v>
      </c>
      <c r="B13" s="19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</row>
    <row r="14" spans="1:184" s="11" customFormat="1" ht="60">
      <c r="A14" s="18" t="s">
        <v>323</v>
      </c>
      <c r="B14" s="20" t="s">
        <v>361</v>
      </c>
      <c r="C14" s="56" t="s">
        <v>54</v>
      </c>
      <c r="D14" s="56" t="s">
        <v>55</v>
      </c>
      <c r="E14" s="56" t="s">
        <v>56</v>
      </c>
      <c r="F14" s="56" t="s">
        <v>57</v>
      </c>
      <c r="G14" s="57" t="s">
        <v>58</v>
      </c>
      <c r="H14" s="56" t="s">
        <v>59</v>
      </c>
      <c r="I14" s="56" t="s">
        <v>60</v>
      </c>
      <c r="J14" s="56" t="s">
        <v>61</v>
      </c>
      <c r="K14" s="56" t="s">
        <v>62</v>
      </c>
      <c r="L14" s="56" t="s">
        <v>63</v>
      </c>
      <c r="M14" s="56" t="s">
        <v>64</v>
      </c>
      <c r="N14" s="56" t="s">
        <v>65</v>
      </c>
      <c r="O14" s="56" t="s">
        <v>362</v>
      </c>
      <c r="P14" s="58" t="s">
        <v>67</v>
      </c>
      <c r="Q14" s="56" t="s">
        <v>68</v>
      </c>
      <c r="R14" s="56" t="s">
        <v>69</v>
      </c>
      <c r="S14" s="56" t="s">
        <v>70</v>
      </c>
      <c r="T14" s="56" t="s">
        <v>71</v>
      </c>
      <c r="U14" s="56" t="s">
        <v>72</v>
      </c>
      <c r="V14" s="56" t="s">
        <v>73</v>
      </c>
      <c r="W14" s="56" t="s">
        <v>74</v>
      </c>
      <c r="X14" s="56" t="s">
        <v>75</v>
      </c>
      <c r="Y14" s="59" t="s">
        <v>76</v>
      </c>
      <c r="Z14" s="60" t="s">
        <v>77</v>
      </c>
      <c r="AA14" s="21" t="s">
        <v>363</v>
      </c>
      <c r="AB14" s="21" t="s">
        <v>364</v>
      </c>
      <c r="AC14" s="21" t="s">
        <v>365</v>
      </c>
      <c r="AD14" s="21" t="s">
        <v>366</v>
      </c>
      <c r="AE14" s="21" t="s">
        <v>367</v>
      </c>
      <c r="AF14" s="21" t="s">
        <v>368</v>
      </c>
      <c r="AG14" s="21" t="s">
        <v>369</v>
      </c>
      <c r="AH14" s="21" t="s">
        <v>370</v>
      </c>
      <c r="AI14" s="21" t="s">
        <v>371</v>
      </c>
      <c r="AJ14" s="21" t="s">
        <v>372</v>
      </c>
      <c r="AK14" s="22" t="s">
        <v>373</v>
      </c>
      <c r="AL14" s="23" t="s">
        <v>374</v>
      </c>
      <c r="AM14" s="23" t="s">
        <v>375</v>
      </c>
      <c r="AN14" s="23" t="s">
        <v>376</v>
      </c>
      <c r="AO14" s="23" t="s">
        <v>377</v>
      </c>
      <c r="AP14" s="23" t="s">
        <v>378</v>
      </c>
      <c r="AQ14" s="23" t="s">
        <v>379</v>
      </c>
      <c r="AR14" s="23" t="s">
        <v>380</v>
      </c>
      <c r="AS14" s="23" t="s">
        <v>381</v>
      </c>
      <c r="AT14" s="23" t="s">
        <v>382</v>
      </c>
      <c r="AU14" s="24" t="s">
        <v>383</v>
      </c>
      <c r="AV14" s="24" t="s">
        <v>384</v>
      </c>
      <c r="AW14" s="24" t="s">
        <v>385</v>
      </c>
      <c r="AX14" s="24" t="s">
        <v>386</v>
      </c>
      <c r="AY14" s="24" t="s">
        <v>387</v>
      </c>
      <c r="AZ14" s="25" t="s">
        <v>388</v>
      </c>
      <c r="BA14" s="25" t="s">
        <v>389</v>
      </c>
      <c r="BB14" s="25" t="s">
        <v>390</v>
      </c>
      <c r="BC14" s="25" t="s">
        <v>391</v>
      </c>
      <c r="BD14" s="25" t="s">
        <v>392</v>
      </c>
      <c r="BE14" s="25" t="s">
        <v>393</v>
      </c>
      <c r="BF14" s="25" t="s">
        <v>394</v>
      </c>
      <c r="BG14" s="25" t="s">
        <v>395</v>
      </c>
      <c r="BH14" s="26" t="s">
        <v>396</v>
      </c>
      <c r="BI14" s="27" t="s">
        <v>397</v>
      </c>
      <c r="BJ14" s="27" t="s">
        <v>398</v>
      </c>
      <c r="BK14" s="27" t="s">
        <v>399</v>
      </c>
      <c r="BL14" s="96" t="s">
        <v>400</v>
      </c>
      <c r="BM14" s="96" t="s">
        <v>401</v>
      </c>
      <c r="BN14" s="97" t="s">
        <v>402</v>
      </c>
      <c r="BO14" s="96" t="s">
        <v>403</v>
      </c>
      <c r="BP14" s="96" t="s">
        <v>404</v>
      </c>
      <c r="BQ14" s="96" t="s">
        <v>405</v>
      </c>
      <c r="BR14" s="98" t="s">
        <v>406</v>
      </c>
      <c r="BS14" s="98" t="s">
        <v>407</v>
      </c>
      <c r="BT14" s="98" t="s">
        <v>408</v>
      </c>
      <c r="BU14" s="98" t="s">
        <v>409</v>
      </c>
      <c r="BV14" s="98" t="s">
        <v>410</v>
      </c>
      <c r="BW14" s="98" t="s">
        <v>411</v>
      </c>
      <c r="BX14" s="98" t="s">
        <v>412</v>
      </c>
      <c r="BY14" s="99" t="s">
        <v>413</v>
      </c>
      <c r="BZ14" s="99" t="s">
        <v>414</v>
      </c>
      <c r="CA14" s="99" t="s">
        <v>415</v>
      </c>
      <c r="CB14" s="99" t="s">
        <v>416</v>
      </c>
      <c r="CC14" s="99" t="s">
        <v>417</v>
      </c>
      <c r="CD14" s="99" t="s">
        <v>418</v>
      </c>
      <c r="CE14" s="99" t="s">
        <v>419</v>
      </c>
      <c r="CF14" s="99" t="s">
        <v>420</v>
      </c>
      <c r="CG14" s="28" t="s">
        <v>421</v>
      </c>
      <c r="CH14" s="28" t="s">
        <v>422</v>
      </c>
      <c r="CI14" s="28" t="s">
        <v>423</v>
      </c>
      <c r="CJ14" s="28" t="s">
        <v>424</v>
      </c>
      <c r="CK14" s="28" t="s">
        <v>425</v>
      </c>
      <c r="CL14" s="28" t="s">
        <v>426</v>
      </c>
      <c r="CM14" s="28" t="s">
        <v>427</v>
      </c>
      <c r="CN14" s="28" t="s">
        <v>428</v>
      </c>
      <c r="CO14" s="28" t="s">
        <v>429</v>
      </c>
      <c r="CP14" s="28" t="s">
        <v>430</v>
      </c>
      <c r="CQ14" s="28" t="s">
        <v>431</v>
      </c>
      <c r="CR14" s="28" t="s">
        <v>432</v>
      </c>
      <c r="CS14" s="28" t="s">
        <v>433</v>
      </c>
      <c r="CT14" s="28" t="s">
        <v>434</v>
      </c>
      <c r="CU14" s="28" t="s">
        <v>435</v>
      </c>
      <c r="CV14" s="28" t="s">
        <v>436</v>
      </c>
      <c r="CW14" s="28" t="s">
        <v>437</v>
      </c>
      <c r="CX14" s="28" t="s">
        <v>438</v>
      </c>
      <c r="CY14" s="28" t="s">
        <v>439</v>
      </c>
      <c r="CZ14" s="28" t="s">
        <v>440</v>
      </c>
      <c r="DA14" s="28" t="s">
        <v>441</v>
      </c>
      <c r="DB14" s="28" t="s">
        <v>442</v>
      </c>
      <c r="DC14" s="28" t="s">
        <v>443</v>
      </c>
      <c r="DD14" s="28" t="s">
        <v>444</v>
      </c>
      <c r="DE14" s="28" t="s">
        <v>445</v>
      </c>
      <c r="DF14" s="28" t="s">
        <v>446</v>
      </c>
      <c r="DG14" s="28" t="s">
        <v>447</v>
      </c>
      <c r="DH14" s="28" t="s">
        <v>448</v>
      </c>
      <c r="DI14" s="28" t="s">
        <v>449</v>
      </c>
      <c r="DJ14" s="28" t="s">
        <v>450</v>
      </c>
      <c r="DK14" s="28" t="s">
        <v>451</v>
      </c>
      <c r="DL14" s="28" t="s">
        <v>452</v>
      </c>
      <c r="DM14" s="28" t="s">
        <v>453</v>
      </c>
      <c r="DN14" s="28" t="s">
        <v>454</v>
      </c>
      <c r="DO14" s="29" t="s">
        <v>455</v>
      </c>
      <c r="DP14" s="29" t="s">
        <v>456</v>
      </c>
      <c r="DQ14" s="29" t="s">
        <v>457</v>
      </c>
      <c r="DR14" s="29" t="s">
        <v>458</v>
      </c>
      <c r="DS14" s="29" t="s">
        <v>459</v>
      </c>
      <c r="DT14" s="29" t="s">
        <v>460</v>
      </c>
      <c r="DU14" s="29" t="s">
        <v>461</v>
      </c>
      <c r="DV14" s="29" t="s">
        <v>462</v>
      </c>
      <c r="DW14" s="29" t="s">
        <v>463</v>
      </c>
      <c r="DX14" s="29" t="s">
        <v>464</v>
      </c>
      <c r="DY14" s="29" t="s">
        <v>465</v>
      </c>
      <c r="DZ14" s="29" t="s">
        <v>466</v>
      </c>
      <c r="EA14" s="29" t="s">
        <v>455</v>
      </c>
      <c r="EB14" s="29" t="s">
        <v>467</v>
      </c>
      <c r="EC14" s="29" t="s">
        <v>468</v>
      </c>
      <c r="ED14" s="29" t="s">
        <v>469</v>
      </c>
      <c r="EE14" s="29" t="s">
        <v>470</v>
      </c>
      <c r="EF14" s="29" t="s">
        <v>471</v>
      </c>
      <c r="EG14" s="29" t="s">
        <v>472</v>
      </c>
      <c r="EH14" s="29" t="s">
        <v>473</v>
      </c>
      <c r="EI14" s="29" t="s">
        <v>474</v>
      </c>
      <c r="EJ14" s="29" t="s">
        <v>475</v>
      </c>
      <c r="EK14" s="29" t="s">
        <v>476</v>
      </c>
      <c r="EL14" s="29" t="s">
        <v>477</v>
      </c>
      <c r="EM14" s="29" t="s">
        <v>478</v>
      </c>
      <c r="EN14" s="29" t="s">
        <v>479</v>
      </c>
      <c r="EO14" s="29" t="s">
        <v>480</v>
      </c>
      <c r="EP14" s="29" t="s">
        <v>481</v>
      </c>
      <c r="EQ14" s="29" t="s">
        <v>482</v>
      </c>
      <c r="ER14" s="29" t="s">
        <v>483</v>
      </c>
      <c r="ES14" s="29" t="s">
        <v>484</v>
      </c>
      <c r="ET14" s="29" t="s">
        <v>485</v>
      </c>
      <c r="EU14" s="29" t="s">
        <v>486</v>
      </c>
      <c r="EV14" s="29" t="s">
        <v>487</v>
      </c>
      <c r="EW14" s="29" t="s">
        <v>488</v>
      </c>
      <c r="EX14" s="29" t="s">
        <v>489</v>
      </c>
      <c r="EY14" s="30" t="s">
        <v>490</v>
      </c>
      <c r="EZ14" s="30" t="s">
        <v>491</v>
      </c>
      <c r="FA14" s="30" t="s">
        <v>492</v>
      </c>
      <c r="FB14" s="31" t="s">
        <v>493</v>
      </c>
      <c r="FC14" s="31" t="s">
        <v>494</v>
      </c>
      <c r="FD14" s="30" t="s">
        <v>495</v>
      </c>
      <c r="FE14" s="30" t="s">
        <v>496</v>
      </c>
      <c r="FF14" s="30" t="s">
        <v>497</v>
      </c>
      <c r="FG14" s="31" t="s">
        <v>498</v>
      </c>
      <c r="FH14" s="31" t="s">
        <v>499</v>
      </c>
      <c r="FI14" s="30" t="s">
        <v>500</v>
      </c>
      <c r="FJ14" s="30" t="s">
        <v>501</v>
      </c>
      <c r="FK14" s="30" t="s">
        <v>502</v>
      </c>
      <c r="FL14" s="31" t="s">
        <v>503</v>
      </c>
      <c r="FM14" s="31" t="s">
        <v>504</v>
      </c>
      <c r="FN14" s="30" t="s">
        <v>505</v>
      </c>
      <c r="FO14" s="30" t="s">
        <v>506</v>
      </c>
      <c r="FP14" s="30" t="s">
        <v>507</v>
      </c>
      <c r="FQ14" s="31" t="s">
        <v>508</v>
      </c>
      <c r="FR14" s="31" t="s">
        <v>509</v>
      </c>
      <c r="FS14" s="30" t="s">
        <v>510</v>
      </c>
      <c r="FT14" s="30" t="s">
        <v>511</v>
      </c>
      <c r="FU14" s="30" t="s">
        <v>512</v>
      </c>
      <c r="FV14" s="31" t="s">
        <v>513</v>
      </c>
      <c r="FW14" s="31" t="s">
        <v>514</v>
      </c>
      <c r="FX14" s="30" t="s">
        <v>515</v>
      </c>
      <c r="FY14" s="30" t="s">
        <v>516</v>
      </c>
      <c r="FZ14" s="30" t="s">
        <v>517</v>
      </c>
      <c r="GA14" s="30" t="s">
        <v>518</v>
      </c>
      <c r="GB14" s="30" t="s">
        <v>519</v>
      </c>
    </row>
    <row r="15" spans="1:184">
      <c r="A15" s="2" t="s">
        <v>154</v>
      </c>
      <c r="B15" s="1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>
        <v>1</v>
      </c>
      <c r="AL15" s="81">
        <v>31</v>
      </c>
      <c r="AM15" s="81" t="s">
        <v>520</v>
      </c>
      <c r="AN15" s="81">
        <v>100</v>
      </c>
      <c r="AO15" s="81">
        <v>10</v>
      </c>
      <c r="AP15" s="81">
        <v>11</v>
      </c>
      <c r="AQ15" s="81" t="s">
        <v>521</v>
      </c>
      <c r="AR15" s="81" t="s">
        <v>522</v>
      </c>
      <c r="AS15" s="81">
        <v>1234.5999999999999</v>
      </c>
      <c r="AT15" s="81" t="s">
        <v>523</v>
      </c>
      <c r="AU15" s="81" t="s">
        <v>138</v>
      </c>
      <c r="AV15" s="81">
        <v>110</v>
      </c>
      <c r="AW15" s="81" t="s">
        <v>524</v>
      </c>
      <c r="AX15" s="81">
        <v>0</v>
      </c>
      <c r="AY15" s="81" t="s">
        <v>525</v>
      </c>
      <c r="AZ15" s="81" t="s">
        <v>526</v>
      </c>
      <c r="BA15" s="81" t="s">
        <v>527</v>
      </c>
      <c r="BB15" s="81" t="s">
        <v>528</v>
      </c>
      <c r="BC15" s="81">
        <v>10001.1</v>
      </c>
      <c r="BD15" s="81">
        <v>9101.2000000000007</v>
      </c>
      <c r="BE15" s="81">
        <v>50101</v>
      </c>
      <c r="BF15" s="81">
        <v>60101</v>
      </c>
      <c r="BG15" s="81">
        <v>22210</v>
      </c>
      <c r="BH15" s="81" t="s">
        <v>529</v>
      </c>
      <c r="BI15" s="81">
        <v>0</v>
      </c>
      <c r="BJ15" s="81">
        <v>3</v>
      </c>
      <c r="BK15" s="81">
        <v>1</v>
      </c>
      <c r="BL15" s="81">
        <v>30</v>
      </c>
      <c r="BM15" s="81">
        <v>0</v>
      </c>
      <c r="BN15" s="81" t="s">
        <v>530</v>
      </c>
      <c r="BO15" s="81" t="s">
        <v>531</v>
      </c>
      <c r="BP15" s="81">
        <v>1</v>
      </c>
      <c r="BQ15" s="81">
        <v>10</v>
      </c>
      <c r="BR15" s="81">
        <v>9991</v>
      </c>
      <c r="BS15" s="81">
        <v>8881</v>
      </c>
      <c r="BT15" s="81">
        <v>7771</v>
      </c>
      <c r="BU15" s="81">
        <v>6661</v>
      </c>
      <c r="BV15" s="81">
        <v>1300</v>
      </c>
      <c r="BW15" s="81">
        <v>5.0999999999999996</v>
      </c>
      <c r="BX15" s="81">
        <v>45043</v>
      </c>
      <c r="BY15" s="81" t="s">
        <v>532</v>
      </c>
      <c r="BZ15" s="81" t="s">
        <v>533</v>
      </c>
      <c r="CA15" s="81" t="s">
        <v>534</v>
      </c>
      <c r="CB15" s="81" t="s">
        <v>535</v>
      </c>
      <c r="CC15" s="81">
        <v>11</v>
      </c>
      <c r="CD15" s="81">
        <v>101</v>
      </c>
      <c r="CE15" s="81">
        <v>1001</v>
      </c>
      <c r="CF15" s="81">
        <v>10001</v>
      </c>
      <c r="CG15" s="81">
        <v>31</v>
      </c>
      <c r="CH15" s="81">
        <v>311</v>
      </c>
      <c r="CI15" s="81">
        <v>321</v>
      </c>
      <c r="CJ15" s="81">
        <v>331</v>
      </c>
      <c r="CK15" s="81">
        <v>341</v>
      </c>
      <c r="CL15" s="81">
        <v>44927</v>
      </c>
      <c r="CM15" s="81">
        <v>44928</v>
      </c>
      <c r="CN15" s="81">
        <v>44929</v>
      </c>
      <c r="CO15" s="81">
        <v>44930</v>
      </c>
      <c r="CP15" s="81">
        <v>10001</v>
      </c>
      <c r="CQ15" s="81">
        <v>50</v>
      </c>
      <c r="CR15" s="81" t="s">
        <v>523</v>
      </c>
      <c r="CS15" s="81" t="s">
        <v>310</v>
      </c>
      <c r="CT15" s="81">
        <v>5</v>
      </c>
      <c r="CU15" s="81">
        <v>6</v>
      </c>
      <c r="CV15" s="81" t="s">
        <v>523</v>
      </c>
      <c r="CW15" s="81">
        <v>3</v>
      </c>
      <c r="CX15" s="81">
        <v>500</v>
      </c>
      <c r="CY15" s="81" t="s">
        <v>536</v>
      </c>
      <c r="CZ15" s="81">
        <v>200</v>
      </c>
      <c r="DA15" s="81">
        <v>45078</v>
      </c>
      <c r="DB15" s="81" t="s">
        <v>524</v>
      </c>
      <c r="DC15" s="81">
        <v>1</v>
      </c>
      <c r="DD15" s="81">
        <v>2</v>
      </c>
      <c r="DE15" s="81" t="s">
        <v>537</v>
      </c>
      <c r="DF15" s="81" t="s">
        <v>523</v>
      </c>
      <c r="DG15" s="81">
        <v>11</v>
      </c>
      <c r="DH15" s="81" t="s">
        <v>523</v>
      </c>
      <c r="DI15" s="81">
        <v>1.1000000000000001</v>
      </c>
      <c r="DJ15" s="81" t="s">
        <v>524</v>
      </c>
      <c r="DK15" s="81">
        <v>10</v>
      </c>
      <c r="DL15" s="81" t="s">
        <v>523</v>
      </c>
      <c r="DM15" s="81">
        <v>15</v>
      </c>
      <c r="DN15" s="81">
        <v>25</v>
      </c>
      <c r="DO15" s="81">
        <v>1</v>
      </c>
      <c r="DP15" s="81">
        <v>3</v>
      </c>
      <c r="DQ15" s="81">
        <v>44986</v>
      </c>
      <c r="DR15" s="81">
        <v>45047</v>
      </c>
      <c r="DS15" s="81">
        <v>2</v>
      </c>
      <c r="DT15" s="81">
        <v>4</v>
      </c>
      <c r="DU15" s="81" t="s">
        <v>538</v>
      </c>
      <c r="DV15" s="81">
        <v>5</v>
      </c>
      <c r="DW15" s="81" t="s">
        <v>523</v>
      </c>
      <c r="DX15" s="81" t="s">
        <v>524</v>
      </c>
      <c r="DY15" s="81">
        <v>35</v>
      </c>
      <c r="DZ15" s="81">
        <v>7</v>
      </c>
      <c r="EA15" s="81">
        <v>8</v>
      </c>
      <c r="EB15" s="81">
        <v>2023</v>
      </c>
      <c r="EC15" s="81">
        <v>600</v>
      </c>
      <c r="ED15" s="81">
        <v>700</v>
      </c>
      <c r="EE15" s="81">
        <v>800</v>
      </c>
      <c r="EF15" s="81" t="s">
        <v>340</v>
      </c>
      <c r="EG15" s="81" t="s">
        <v>539</v>
      </c>
      <c r="EH15" s="81">
        <v>9</v>
      </c>
      <c r="EI15" s="81">
        <v>1</v>
      </c>
      <c r="EJ15" s="81">
        <v>99</v>
      </c>
      <c r="EK15" s="81">
        <v>1</v>
      </c>
      <c r="EL15" s="81" t="s">
        <v>523</v>
      </c>
      <c r="EM15" s="81">
        <v>5</v>
      </c>
      <c r="EN15" s="81">
        <v>13</v>
      </c>
      <c r="EO15" s="81">
        <v>70.2</v>
      </c>
      <c r="EP15" s="81">
        <v>1</v>
      </c>
      <c r="EQ15" s="81">
        <v>1</v>
      </c>
      <c r="ER15" s="81" t="s">
        <v>540</v>
      </c>
      <c r="ES15" s="81">
        <v>44986</v>
      </c>
      <c r="ET15" s="81">
        <v>15</v>
      </c>
      <c r="EU15" s="81">
        <v>10</v>
      </c>
      <c r="EV15" s="81" t="s">
        <v>541</v>
      </c>
      <c r="EW15" s="81" t="s">
        <v>523</v>
      </c>
      <c r="EX15" s="81" t="s">
        <v>542</v>
      </c>
      <c r="EY15" s="81">
        <v>1</v>
      </c>
      <c r="EZ15" s="81">
        <v>44987</v>
      </c>
      <c r="FA15" s="81">
        <v>100</v>
      </c>
      <c r="FB15" s="81">
        <v>2.2000000000000002</v>
      </c>
      <c r="FC15" s="81" t="s">
        <v>523</v>
      </c>
      <c r="FD15" s="81">
        <v>1</v>
      </c>
      <c r="FE15" s="81">
        <v>44987</v>
      </c>
      <c r="FF15" s="81">
        <v>100</v>
      </c>
      <c r="FG15" s="81"/>
      <c r="FH15" s="81"/>
      <c r="FI15" s="81">
        <v>1</v>
      </c>
      <c r="FJ15" s="81">
        <v>44987</v>
      </c>
      <c r="FK15" s="81">
        <v>100</v>
      </c>
      <c r="FL15" s="81"/>
      <c r="FM15" s="81"/>
      <c r="FN15" s="81">
        <v>1</v>
      </c>
      <c r="FO15" s="81">
        <v>44987</v>
      </c>
      <c r="FP15" s="81">
        <v>100</v>
      </c>
      <c r="FQ15" s="81"/>
      <c r="FR15" s="81"/>
      <c r="FS15" s="81">
        <v>1</v>
      </c>
      <c r="FT15" s="81">
        <v>44987</v>
      </c>
      <c r="FU15" s="81">
        <v>100</v>
      </c>
      <c r="FV15" s="81"/>
      <c r="FW15" s="81"/>
      <c r="FX15" s="81">
        <v>1</v>
      </c>
      <c r="FY15" s="81">
        <v>2</v>
      </c>
      <c r="FZ15" s="81">
        <v>1</v>
      </c>
      <c r="GA15" s="81">
        <v>2</v>
      </c>
      <c r="GB15" s="81">
        <v>5.0999999999999996</v>
      </c>
    </row>
    <row r="16" spans="1:184" s="41" customFormat="1" ht="48" customHeight="1">
      <c r="A16" s="33" t="s">
        <v>323</v>
      </c>
      <c r="B16" s="34" t="s">
        <v>543</v>
      </c>
      <c r="C16" s="34"/>
      <c r="D16" s="35" t="s">
        <v>544</v>
      </c>
      <c r="E16" s="34"/>
      <c r="F16" s="34" t="s">
        <v>545</v>
      </c>
      <c r="G16" s="35" t="s">
        <v>546</v>
      </c>
      <c r="H16" s="34"/>
      <c r="I16" s="34" t="s">
        <v>547</v>
      </c>
      <c r="J16" s="34" t="s">
        <v>548</v>
      </c>
      <c r="K16" s="34" t="s">
        <v>549</v>
      </c>
      <c r="L16" s="34"/>
      <c r="M16" s="81" t="s">
        <v>550</v>
      </c>
      <c r="N16" s="81"/>
      <c r="O16" s="81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6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7" t="s">
        <v>551</v>
      </c>
      <c r="AL16" s="34" t="s">
        <v>552</v>
      </c>
      <c r="AM16" s="38"/>
      <c r="AN16" s="34" t="s">
        <v>553</v>
      </c>
      <c r="AO16" s="34"/>
      <c r="AP16" s="34" t="s">
        <v>554</v>
      </c>
      <c r="AQ16" s="34" t="s">
        <v>555</v>
      </c>
      <c r="AR16" s="34" t="s">
        <v>556</v>
      </c>
      <c r="AS16" s="34" t="s">
        <v>557</v>
      </c>
      <c r="AT16" s="34" t="s">
        <v>558</v>
      </c>
      <c r="AU16" s="39"/>
      <c r="AV16" s="34" t="s">
        <v>559</v>
      </c>
      <c r="AW16" s="34" t="s">
        <v>560</v>
      </c>
      <c r="AX16" s="34" t="s">
        <v>561</v>
      </c>
      <c r="AY16" s="34" t="s">
        <v>562</v>
      </c>
      <c r="AZ16" s="34" t="s">
        <v>563</v>
      </c>
      <c r="BA16" s="34" t="s">
        <v>564</v>
      </c>
      <c r="BB16" s="34" t="s">
        <v>565</v>
      </c>
      <c r="BC16" s="34" t="s">
        <v>566</v>
      </c>
      <c r="BD16" s="34" t="s">
        <v>567</v>
      </c>
      <c r="BE16" s="39" t="s">
        <v>568</v>
      </c>
      <c r="BF16" s="34" t="s">
        <v>569</v>
      </c>
      <c r="BG16" s="34" t="s">
        <v>570</v>
      </c>
      <c r="BH16" s="34" t="s">
        <v>571</v>
      </c>
      <c r="BI16" s="34" t="s">
        <v>572</v>
      </c>
      <c r="BJ16" s="34" t="s">
        <v>573</v>
      </c>
      <c r="BK16" s="34" t="s">
        <v>574</v>
      </c>
      <c r="BL16" s="34" t="s">
        <v>575</v>
      </c>
      <c r="BM16" s="34" t="s">
        <v>576</v>
      </c>
      <c r="BN16" s="34" t="s">
        <v>577</v>
      </c>
      <c r="BO16" s="34" t="s">
        <v>578</v>
      </c>
      <c r="BP16" s="34" t="s">
        <v>579</v>
      </c>
      <c r="BQ16" s="34" t="s">
        <v>580</v>
      </c>
      <c r="BR16" s="34" t="s">
        <v>581</v>
      </c>
      <c r="BS16" s="34" t="s">
        <v>582</v>
      </c>
      <c r="BT16" s="34" t="s">
        <v>583</v>
      </c>
      <c r="BU16" s="34" t="s">
        <v>584</v>
      </c>
      <c r="BV16" s="34" t="s">
        <v>585</v>
      </c>
      <c r="BW16" s="34" t="s">
        <v>586</v>
      </c>
      <c r="BX16" s="34" t="s">
        <v>587</v>
      </c>
      <c r="BY16" s="34" t="s">
        <v>588</v>
      </c>
      <c r="BZ16" s="34" t="s">
        <v>589</v>
      </c>
      <c r="CA16" s="34" t="s">
        <v>590</v>
      </c>
      <c r="CB16" s="34" t="s">
        <v>591</v>
      </c>
      <c r="CC16" s="34" t="s">
        <v>592</v>
      </c>
      <c r="CD16" s="34" t="s">
        <v>593</v>
      </c>
      <c r="CE16" s="34" t="s">
        <v>594</v>
      </c>
      <c r="CF16" s="34" t="s">
        <v>595</v>
      </c>
      <c r="CG16" s="34" t="s">
        <v>596</v>
      </c>
      <c r="CH16" s="34" t="s">
        <v>597</v>
      </c>
      <c r="CI16" s="34" t="s">
        <v>598</v>
      </c>
      <c r="CJ16" s="34" t="s">
        <v>599</v>
      </c>
      <c r="CK16" s="34" t="s">
        <v>600</v>
      </c>
      <c r="CL16" s="34" t="s">
        <v>601</v>
      </c>
      <c r="CM16" s="34" t="s">
        <v>602</v>
      </c>
      <c r="CN16" s="34" t="s">
        <v>603</v>
      </c>
      <c r="CO16" s="34" t="s">
        <v>604</v>
      </c>
      <c r="CP16" s="34" t="s">
        <v>605</v>
      </c>
      <c r="CQ16" s="34" t="s">
        <v>606</v>
      </c>
      <c r="CR16" s="34" t="s">
        <v>607</v>
      </c>
      <c r="CS16" s="34" t="s">
        <v>608</v>
      </c>
      <c r="CT16" s="34" t="s">
        <v>609</v>
      </c>
      <c r="CU16" s="34" t="s">
        <v>610</v>
      </c>
      <c r="CV16" s="34" t="s">
        <v>611</v>
      </c>
      <c r="CW16" s="34" t="s">
        <v>612</v>
      </c>
      <c r="CX16" s="34" t="s">
        <v>613</v>
      </c>
      <c r="CY16" s="34" t="s">
        <v>614</v>
      </c>
      <c r="CZ16" s="34" t="s">
        <v>615</v>
      </c>
      <c r="DA16" s="34" t="s">
        <v>616</v>
      </c>
      <c r="DB16" s="34" t="s">
        <v>617</v>
      </c>
      <c r="DC16" s="34" t="s">
        <v>618</v>
      </c>
      <c r="DD16" s="34" t="s">
        <v>619</v>
      </c>
      <c r="DE16" s="34" t="s">
        <v>620</v>
      </c>
      <c r="DF16" s="34" t="s">
        <v>621</v>
      </c>
      <c r="DG16" s="34" t="s">
        <v>622</v>
      </c>
      <c r="DH16" s="34" t="s">
        <v>623</v>
      </c>
      <c r="DI16" s="34" t="s">
        <v>624</v>
      </c>
      <c r="DJ16" s="34" t="s">
        <v>625</v>
      </c>
      <c r="DK16" s="34" t="s">
        <v>626</v>
      </c>
      <c r="DL16" s="34" t="s">
        <v>627</v>
      </c>
      <c r="DM16" s="34" t="s">
        <v>628</v>
      </c>
      <c r="DN16" s="34" t="s">
        <v>629</v>
      </c>
      <c r="DO16" s="34" t="s">
        <v>630</v>
      </c>
      <c r="DP16" s="34" t="s">
        <v>631</v>
      </c>
      <c r="DQ16" s="34" t="s">
        <v>632</v>
      </c>
      <c r="DR16" s="34" t="s">
        <v>632</v>
      </c>
      <c r="DS16" s="34" t="s">
        <v>633</v>
      </c>
      <c r="DT16" s="34" t="s">
        <v>634</v>
      </c>
      <c r="DU16" s="34" t="s">
        <v>635</v>
      </c>
      <c r="DV16" s="34" t="s">
        <v>636</v>
      </c>
      <c r="DW16" s="34" t="s">
        <v>637</v>
      </c>
      <c r="DX16" s="34" t="s">
        <v>637</v>
      </c>
      <c r="DY16" s="34" t="s">
        <v>638</v>
      </c>
      <c r="DZ16" s="34" t="s">
        <v>639</v>
      </c>
      <c r="EA16" s="34" t="s">
        <v>640</v>
      </c>
      <c r="EB16" s="34" t="s">
        <v>641</v>
      </c>
      <c r="EC16" s="34" t="s">
        <v>642</v>
      </c>
      <c r="ED16" s="34" t="s">
        <v>643</v>
      </c>
      <c r="EE16" s="34" t="s">
        <v>643</v>
      </c>
      <c r="EF16" s="34" t="s">
        <v>644</v>
      </c>
      <c r="EG16" s="34" t="s">
        <v>644</v>
      </c>
      <c r="EH16" s="34" t="s">
        <v>645</v>
      </c>
      <c r="EI16" s="34" t="s">
        <v>646</v>
      </c>
      <c r="EJ16" s="34" t="s">
        <v>647</v>
      </c>
      <c r="EK16" s="34" t="s">
        <v>648</v>
      </c>
      <c r="EL16" s="34" t="s">
        <v>649</v>
      </c>
      <c r="EM16" s="34" t="s">
        <v>650</v>
      </c>
      <c r="EN16" s="34" t="s">
        <v>651</v>
      </c>
      <c r="EO16" s="34" t="s">
        <v>652</v>
      </c>
      <c r="EP16" s="34" t="s">
        <v>653</v>
      </c>
      <c r="EQ16" s="34" t="s">
        <v>654</v>
      </c>
      <c r="ER16" s="34" t="s">
        <v>655</v>
      </c>
      <c r="ES16" s="34" t="s">
        <v>656</v>
      </c>
      <c r="ET16" s="34" t="s">
        <v>657</v>
      </c>
      <c r="EU16" s="34" t="s">
        <v>658</v>
      </c>
      <c r="EV16" s="34" t="s">
        <v>659</v>
      </c>
      <c r="EW16" s="34" t="s">
        <v>660</v>
      </c>
      <c r="EX16" s="34" t="s">
        <v>661</v>
      </c>
      <c r="EY16" s="34" t="s">
        <v>662</v>
      </c>
      <c r="EZ16" s="34" t="s">
        <v>663</v>
      </c>
      <c r="FA16" s="34" t="s">
        <v>664</v>
      </c>
      <c r="FB16" s="40" t="s">
        <v>665</v>
      </c>
      <c r="FC16" s="40" t="s">
        <v>666</v>
      </c>
      <c r="FD16" s="34" t="s">
        <v>662</v>
      </c>
      <c r="FE16" s="34" t="s">
        <v>663</v>
      </c>
      <c r="FF16" s="36" t="s">
        <v>664</v>
      </c>
      <c r="FG16" s="34"/>
      <c r="FH16" s="34"/>
      <c r="FI16" s="34" t="s">
        <v>662</v>
      </c>
      <c r="FJ16" s="34" t="s">
        <v>663</v>
      </c>
      <c r="FK16" s="36" t="s">
        <v>664</v>
      </c>
      <c r="FL16" s="34"/>
      <c r="FM16" s="34"/>
      <c r="FN16" s="34" t="s">
        <v>662</v>
      </c>
      <c r="FO16" s="34" t="s">
        <v>663</v>
      </c>
      <c r="FP16" s="36" t="s">
        <v>664</v>
      </c>
      <c r="FQ16" s="34"/>
      <c r="FR16" s="34"/>
      <c r="FS16" s="34" t="s">
        <v>662</v>
      </c>
      <c r="FT16" s="34" t="s">
        <v>663</v>
      </c>
      <c r="FU16" s="36" t="s">
        <v>664</v>
      </c>
      <c r="FV16" s="34"/>
      <c r="FW16" s="34"/>
      <c r="FX16" s="36" t="s">
        <v>667</v>
      </c>
      <c r="FY16" s="36" t="s">
        <v>667</v>
      </c>
      <c r="FZ16" s="36" t="s">
        <v>667</v>
      </c>
      <c r="GA16" s="36" t="s">
        <v>667</v>
      </c>
      <c r="GB16" s="36" t="s">
        <v>665</v>
      </c>
    </row>
    <row r="17" spans="1:184" s="41" customFormat="1" ht="75">
      <c r="A17" s="33" t="s">
        <v>323</v>
      </c>
      <c r="B17" s="34" t="s">
        <v>668</v>
      </c>
      <c r="C17" s="34" t="s">
        <v>669</v>
      </c>
      <c r="D17" s="34" t="s">
        <v>669</v>
      </c>
      <c r="E17" s="34" t="s">
        <v>669</v>
      </c>
      <c r="F17" s="34" t="s">
        <v>669</v>
      </c>
      <c r="G17" s="34" t="s">
        <v>669</v>
      </c>
      <c r="H17" s="34" t="s">
        <v>669</v>
      </c>
      <c r="I17" s="34" t="s">
        <v>669</v>
      </c>
      <c r="J17" s="34" t="s">
        <v>669</v>
      </c>
      <c r="K17" s="34" t="s">
        <v>669</v>
      </c>
      <c r="L17" s="34" t="s">
        <v>669</v>
      </c>
      <c r="M17" s="81"/>
      <c r="N17" s="81"/>
      <c r="O17" s="81"/>
      <c r="P17" s="34" t="s">
        <v>669</v>
      </c>
      <c r="Q17" s="34" t="s">
        <v>669</v>
      </c>
      <c r="R17" s="34" t="s">
        <v>669</v>
      </c>
      <c r="S17" s="34" t="s">
        <v>669</v>
      </c>
      <c r="T17" s="34" t="s">
        <v>669</v>
      </c>
      <c r="U17" s="34" t="s">
        <v>669</v>
      </c>
      <c r="V17" s="34" t="s">
        <v>669</v>
      </c>
      <c r="W17" s="34" t="s">
        <v>669</v>
      </c>
      <c r="X17" s="34" t="s">
        <v>669</v>
      </c>
      <c r="Y17" s="34" t="s">
        <v>669</v>
      </c>
      <c r="Z17" s="36" t="s">
        <v>669</v>
      </c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42" t="s">
        <v>669</v>
      </c>
      <c r="AL17" s="34" t="s">
        <v>669</v>
      </c>
      <c r="AM17" s="34" t="s">
        <v>669</v>
      </c>
      <c r="AN17" s="34" t="s">
        <v>669</v>
      </c>
      <c r="AO17" s="34" t="s">
        <v>670</v>
      </c>
      <c r="AP17" s="34" t="s">
        <v>669</v>
      </c>
      <c r="AQ17" s="34" t="s">
        <v>669</v>
      </c>
      <c r="AR17" s="34" t="s">
        <v>669</v>
      </c>
      <c r="AS17" s="34" t="s">
        <v>669</v>
      </c>
      <c r="AT17" s="34" t="s">
        <v>669</v>
      </c>
      <c r="AU17" s="39" t="s">
        <v>671</v>
      </c>
      <c r="AV17" s="34" t="s">
        <v>669</v>
      </c>
      <c r="AW17" s="34" t="s">
        <v>669</v>
      </c>
      <c r="AX17" s="34" t="s">
        <v>669</v>
      </c>
      <c r="AY17" s="34" t="s">
        <v>669</v>
      </c>
      <c r="AZ17" s="34" t="s">
        <v>669</v>
      </c>
      <c r="BA17" s="34" t="s">
        <v>669</v>
      </c>
      <c r="BB17" s="34" t="s">
        <v>669</v>
      </c>
      <c r="BC17" s="34" t="s">
        <v>669</v>
      </c>
      <c r="BD17" s="34" t="s">
        <v>669</v>
      </c>
      <c r="BE17" s="39" t="s">
        <v>671</v>
      </c>
      <c r="BF17" s="39" t="s">
        <v>671</v>
      </c>
      <c r="BG17" s="34" t="s">
        <v>669</v>
      </c>
      <c r="BH17" s="34" t="s">
        <v>669</v>
      </c>
      <c r="BI17" s="34" t="s">
        <v>669</v>
      </c>
      <c r="BJ17" s="34" t="s">
        <v>669</v>
      </c>
      <c r="BK17" s="34" t="s">
        <v>669</v>
      </c>
      <c r="BL17" s="34" t="s">
        <v>669</v>
      </c>
      <c r="BM17" s="34" t="s">
        <v>669</v>
      </c>
      <c r="BN17" s="34" t="s">
        <v>669</v>
      </c>
      <c r="BO17" s="34" t="s">
        <v>669</v>
      </c>
      <c r="BP17" s="34" t="s">
        <v>669</v>
      </c>
      <c r="BQ17" s="34" t="s">
        <v>669</v>
      </c>
      <c r="BR17" s="34" t="s">
        <v>669</v>
      </c>
      <c r="BS17" s="34" t="s">
        <v>669</v>
      </c>
      <c r="BT17" s="34" t="s">
        <v>669</v>
      </c>
      <c r="BU17" s="34" t="s">
        <v>669</v>
      </c>
      <c r="BV17" s="34" t="s">
        <v>669</v>
      </c>
      <c r="BW17" s="34" t="s">
        <v>669</v>
      </c>
      <c r="BX17" s="34" t="s">
        <v>669</v>
      </c>
      <c r="BY17" s="34" t="s">
        <v>669</v>
      </c>
      <c r="BZ17" s="34" t="s">
        <v>669</v>
      </c>
      <c r="CA17" s="34" t="s">
        <v>669</v>
      </c>
      <c r="CB17" s="34" t="s">
        <v>669</v>
      </c>
      <c r="CC17" s="34" t="s">
        <v>669</v>
      </c>
      <c r="CD17" s="34" t="s">
        <v>669</v>
      </c>
      <c r="CE17" s="34" t="s">
        <v>669</v>
      </c>
      <c r="CF17" s="34" t="s">
        <v>669</v>
      </c>
      <c r="CG17" s="34" t="s">
        <v>669</v>
      </c>
      <c r="CH17" s="34" t="s">
        <v>669</v>
      </c>
      <c r="CI17" s="34" t="s">
        <v>669</v>
      </c>
      <c r="CJ17" s="34" t="s">
        <v>669</v>
      </c>
      <c r="CK17" s="34" t="s">
        <v>669</v>
      </c>
      <c r="CL17" s="34" t="s">
        <v>669</v>
      </c>
      <c r="CM17" s="34" t="s">
        <v>669</v>
      </c>
      <c r="CN17" s="34" t="s">
        <v>669</v>
      </c>
      <c r="CO17" s="34" t="s">
        <v>669</v>
      </c>
      <c r="CP17" s="34" t="s">
        <v>669</v>
      </c>
      <c r="CQ17" s="34" t="s">
        <v>669</v>
      </c>
      <c r="CR17" s="34" t="s">
        <v>669</v>
      </c>
      <c r="CS17" s="34" t="s">
        <v>669</v>
      </c>
      <c r="CT17" s="34" t="s">
        <v>669</v>
      </c>
      <c r="CU17" s="34" t="s">
        <v>669</v>
      </c>
      <c r="CV17" s="34" t="s">
        <v>669</v>
      </c>
      <c r="CW17" s="34" t="s">
        <v>669</v>
      </c>
      <c r="CX17" s="34" t="s">
        <v>669</v>
      </c>
      <c r="CY17" s="34" t="s">
        <v>669</v>
      </c>
      <c r="CZ17" s="34" t="s">
        <v>669</v>
      </c>
      <c r="DA17" s="34" t="s">
        <v>669</v>
      </c>
      <c r="DB17" s="34" t="s">
        <v>669</v>
      </c>
      <c r="DC17" s="34" t="s">
        <v>669</v>
      </c>
      <c r="DD17" s="34" t="s">
        <v>669</v>
      </c>
      <c r="DE17" s="34" t="s">
        <v>669</v>
      </c>
      <c r="DF17" s="34" t="s">
        <v>669</v>
      </c>
      <c r="DG17" s="34" t="s">
        <v>669</v>
      </c>
      <c r="DH17" s="34" t="s">
        <v>669</v>
      </c>
      <c r="DI17" s="34" t="s">
        <v>669</v>
      </c>
      <c r="DJ17" s="34" t="s">
        <v>669</v>
      </c>
      <c r="DK17" s="34" t="s">
        <v>669</v>
      </c>
      <c r="DL17" s="34" t="s">
        <v>669</v>
      </c>
      <c r="DM17" s="34" t="s">
        <v>669</v>
      </c>
      <c r="DN17" s="34" t="s">
        <v>669</v>
      </c>
      <c r="DO17" s="34" t="s">
        <v>669</v>
      </c>
      <c r="DP17" s="34" t="s">
        <v>669</v>
      </c>
      <c r="DQ17" s="34" t="s">
        <v>669</v>
      </c>
      <c r="DR17" s="34" t="s">
        <v>669</v>
      </c>
      <c r="DS17" s="34" t="s">
        <v>669</v>
      </c>
      <c r="DT17" s="34" t="s">
        <v>669</v>
      </c>
      <c r="DU17" s="34" t="s">
        <v>669</v>
      </c>
      <c r="DV17" s="34" t="s">
        <v>669</v>
      </c>
      <c r="DW17" s="34" t="s">
        <v>669</v>
      </c>
      <c r="DX17" s="34" t="s">
        <v>669</v>
      </c>
      <c r="DY17" s="34" t="s">
        <v>669</v>
      </c>
      <c r="DZ17" s="34" t="s">
        <v>669</v>
      </c>
      <c r="EA17" s="34" t="s">
        <v>669</v>
      </c>
      <c r="EB17" s="34" t="s">
        <v>669</v>
      </c>
      <c r="EC17" s="34" t="s">
        <v>669</v>
      </c>
      <c r="ED17" s="34" t="s">
        <v>669</v>
      </c>
      <c r="EE17" s="34" t="s">
        <v>669</v>
      </c>
      <c r="EF17" s="34" t="s">
        <v>669</v>
      </c>
      <c r="EG17" s="34" t="s">
        <v>669</v>
      </c>
      <c r="EH17" s="34" t="s">
        <v>669</v>
      </c>
      <c r="EI17" s="34" t="s">
        <v>669</v>
      </c>
      <c r="EJ17" s="34" t="s">
        <v>669</v>
      </c>
      <c r="EK17" s="34" t="s">
        <v>669</v>
      </c>
      <c r="EL17" s="34" t="s">
        <v>669</v>
      </c>
      <c r="EM17" s="34" t="s">
        <v>669</v>
      </c>
      <c r="EN17" s="34" t="s">
        <v>669</v>
      </c>
      <c r="EO17" s="34" t="s">
        <v>669</v>
      </c>
      <c r="EP17" s="34" t="s">
        <v>669</v>
      </c>
      <c r="EQ17" s="34" t="s">
        <v>669</v>
      </c>
      <c r="ER17" s="34" t="s">
        <v>669</v>
      </c>
      <c r="ES17" s="34" t="s">
        <v>669</v>
      </c>
      <c r="ET17" s="34" t="s">
        <v>669</v>
      </c>
      <c r="EU17" s="34" t="s">
        <v>669</v>
      </c>
      <c r="EV17" s="34" t="s">
        <v>669</v>
      </c>
      <c r="EW17" s="34" t="s">
        <v>669</v>
      </c>
      <c r="EX17" s="34" t="s">
        <v>669</v>
      </c>
      <c r="EY17" s="34" t="s">
        <v>669</v>
      </c>
      <c r="EZ17" s="34" t="s">
        <v>669</v>
      </c>
      <c r="FA17" s="34" t="s">
        <v>669</v>
      </c>
      <c r="FB17" s="34" t="s">
        <v>669</v>
      </c>
      <c r="FC17" s="34" t="s">
        <v>669</v>
      </c>
      <c r="FD17" s="34" t="s">
        <v>669</v>
      </c>
      <c r="FE17" s="34" t="s">
        <v>669</v>
      </c>
      <c r="FF17" s="34" t="s">
        <v>669</v>
      </c>
      <c r="FG17" s="34" t="s">
        <v>669</v>
      </c>
      <c r="FH17" s="34" t="s">
        <v>669</v>
      </c>
      <c r="FI17" s="34" t="s">
        <v>669</v>
      </c>
      <c r="FJ17" s="34" t="s">
        <v>669</v>
      </c>
      <c r="FK17" s="34" t="s">
        <v>669</v>
      </c>
      <c r="FL17" s="34" t="s">
        <v>669</v>
      </c>
      <c r="FM17" s="34" t="s">
        <v>669</v>
      </c>
      <c r="FN17" s="34" t="s">
        <v>669</v>
      </c>
      <c r="FO17" s="34" t="s">
        <v>669</v>
      </c>
      <c r="FP17" s="34" t="s">
        <v>669</v>
      </c>
      <c r="FQ17" s="34" t="s">
        <v>669</v>
      </c>
      <c r="FR17" s="34" t="s">
        <v>669</v>
      </c>
      <c r="FS17" s="34" t="s">
        <v>669</v>
      </c>
      <c r="FT17" s="34" t="s">
        <v>669</v>
      </c>
      <c r="FU17" s="34" t="s">
        <v>669</v>
      </c>
      <c r="FV17" s="34" t="s">
        <v>669</v>
      </c>
      <c r="FW17" s="34" t="s">
        <v>669</v>
      </c>
      <c r="FX17" s="34" t="s">
        <v>669</v>
      </c>
      <c r="FY17" s="34" t="s">
        <v>669</v>
      </c>
      <c r="FZ17" s="34" t="s">
        <v>669</v>
      </c>
      <c r="GA17" s="34" t="s">
        <v>669</v>
      </c>
      <c r="GB17" s="34" t="s">
        <v>669</v>
      </c>
    </row>
    <row r="18" spans="1:184" s="41" customFormat="1" ht="40.5">
      <c r="A18" s="33" t="s">
        <v>323</v>
      </c>
      <c r="B18" s="34" t="s">
        <v>672</v>
      </c>
      <c r="C18" s="34"/>
      <c r="D18" s="43" t="s">
        <v>673</v>
      </c>
      <c r="E18" s="34"/>
      <c r="F18" s="44" t="s">
        <v>674</v>
      </c>
      <c r="G18" s="43" t="s">
        <v>675</v>
      </c>
      <c r="H18" s="34"/>
      <c r="I18" s="44" t="s">
        <v>676</v>
      </c>
      <c r="J18" s="44" t="s">
        <v>677</v>
      </c>
      <c r="K18" s="44" t="s">
        <v>678</v>
      </c>
      <c r="L18" s="34"/>
      <c r="M18" s="81"/>
      <c r="N18" s="81"/>
      <c r="O18" s="81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6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45" t="s">
        <v>679</v>
      </c>
      <c r="AL18" s="44" t="s">
        <v>680</v>
      </c>
      <c r="AM18" s="38"/>
      <c r="AN18" s="44" t="s">
        <v>681</v>
      </c>
      <c r="AO18" s="34"/>
      <c r="AP18" s="44" t="s">
        <v>680</v>
      </c>
      <c r="AQ18" s="44" t="s">
        <v>674</v>
      </c>
      <c r="AR18" s="44" t="s">
        <v>682</v>
      </c>
      <c r="AS18" s="44" t="s">
        <v>681</v>
      </c>
      <c r="AT18" s="44" t="s">
        <v>683</v>
      </c>
      <c r="AU18" s="16" t="s">
        <v>678</v>
      </c>
      <c r="AV18" s="44" t="s">
        <v>684</v>
      </c>
      <c r="AW18" s="44" t="s">
        <v>683</v>
      </c>
      <c r="AX18" s="44" t="s">
        <v>685</v>
      </c>
      <c r="AY18" s="44" t="s">
        <v>674</v>
      </c>
      <c r="AZ18" s="44" t="s">
        <v>686</v>
      </c>
      <c r="BA18" s="44" t="s">
        <v>687</v>
      </c>
      <c r="BB18" s="44" t="s">
        <v>686</v>
      </c>
      <c r="BC18" s="44" t="s">
        <v>688</v>
      </c>
      <c r="BD18" s="44" t="s">
        <v>688</v>
      </c>
      <c r="BE18" s="44" t="s">
        <v>673</v>
      </c>
      <c r="BF18" s="44" t="s">
        <v>689</v>
      </c>
      <c r="BG18" s="44" t="s">
        <v>690</v>
      </c>
      <c r="BH18" s="44" t="s">
        <v>691</v>
      </c>
      <c r="BI18" s="44" t="s">
        <v>692</v>
      </c>
      <c r="BJ18" s="44" t="s">
        <v>692</v>
      </c>
      <c r="BK18" s="44" t="s">
        <v>693</v>
      </c>
      <c r="BL18" s="44" t="s">
        <v>694</v>
      </c>
      <c r="BM18" s="44" t="s">
        <v>694</v>
      </c>
      <c r="BN18" s="46" t="s">
        <v>695</v>
      </c>
      <c r="BO18" s="44" t="s">
        <v>675</v>
      </c>
      <c r="BP18" s="44" t="s">
        <v>693</v>
      </c>
      <c r="BQ18" s="44" t="s">
        <v>693</v>
      </c>
      <c r="BR18" s="34" t="s">
        <v>696</v>
      </c>
      <c r="BS18" s="34" t="s">
        <v>696</v>
      </c>
      <c r="BT18" s="34" t="s">
        <v>696</v>
      </c>
      <c r="BU18" s="34" t="s">
        <v>696</v>
      </c>
      <c r="BV18" s="43" t="s">
        <v>697</v>
      </c>
      <c r="BW18" s="43" t="s">
        <v>698</v>
      </c>
      <c r="BX18" s="43" t="s">
        <v>699</v>
      </c>
      <c r="BY18" s="43" t="s">
        <v>700</v>
      </c>
      <c r="BZ18" s="43" t="s">
        <v>700</v>
      </c>
      <c r="CA18" s="43" t="s">
        <v>700</v>
      </c>
      <c r="CB18" s="43" t="s">
        <v>700</v>
      </c>
      <c r="CC18" s="43">
        <v>11</v>
      </c>
      <c r="CD18" s="43" t="s">
        <v>701</v>
      </c>
      <c r="CE18" s="43" t="s">
        <v>701</v>
      </c>
      <c r="CF18" s="43" t="s">
        <v>701</v>
      </c>
      <c r="CG18" s="44" t="s">
        <v>693</v>
      </c>
      <c r="CH18" s="44" t="s">
        <v>702</v>
      </c>
      <c r="CI18" s="44" t="s">
        <v>702</v>
      </c>
      <c r="CJ18" s="44" t="s">
        <v>702</v>
      </c>
      <c r="CK18" s="44" t="s">
        <v>702</v>
      </c>
      <c r="CL18" s="44" t="s">
        <v>699</v>
      </c>
      <c r="CM18" s="44" t="s">
        <v>699</v>
      </c>
      <c r="CN18" s="44" t="s">
        <v>699</v>
      </c>
      <c r="CO18" s="44" t="s">
        <v>699</v>
      </c>
      <c r="CP18" s="44" t="s">
        <v>703</v>
      </c>
      <c r="CQ18" s="44" t="s">
        <v>702</v>
      </c>
      <c r="CR18" s="44" t="s">
        <v>704</v>
      </c>
      <c r="CS18" s="44" t="s">
        <v>705</v>
      </c>
      <c r="CT18" s="44" t="s">
        <v>692</v>
      </c>
      <c r="CU18" s="44" t="s">
        <v>692</v>
      </c>
      <c r="CV18" s="44" t="s">
        <v>704</v>
      </c>
      <c r="CW18" s="44" t="s">
        <v>692</v>
      </c>
      <c r="CX18" s="44" t="s">
        <v>702</v>
      </c>
      <c r="CY18" s="44" t="s">
        <v>706</v>
      </c>
      <c r="CZ18" s="44" t="s">
        <v>702</v>
      </c>
      <c r="DA18" s="44" t="s">
        <v>699</v>
      </c>
      <c r="DB18" s="44" t="s">
        <v>704</v>
      </c>
      <c r="DC18" s="44" t="s">
        <v>692</v>
      </c>
      <c r="DD18" s="44" t="s">
        <v>692</v>
      </c>
      <c r="DE18" s="44" t="s">
        <v>707</v>
      </c>
      <c r="DF18" s="44" t="s">
        <v>704</v>
      </c>
      <c r="DG18" s="44" t="s">
        <v>693</v>
      </c>
      <c r="DH18" s="44" t="s">
        <v>704</v>
      </c>
      <c r="DI18" s="44" t="s">
        <v>708</v>
      </c>
      <c r="DJ18" s="44" t="s">
        <v>704</v>
      </c>
      <c r="DK18" s="44" t="s">
        <v>693</v>
      </c>
      <c r="DL18" s="44" t="s">
        <v>704</v>
      </c>
      <c r="DM18" s="44" t="s">
        <v>693</v>
      </c>
      <c r="DN18" s="44" t="s">
        <v>693</v>
      </c>
      <c r="DO18" s="44" t="s">
        <v>709</v>
      </c>
      <c r="DP18" s="44" t="s">
        <v>709</v>
      </c>
      <c r="DQ18" s="44" t="s">
        <v>699</v>
      </c>
      <c r="DR18" s="44" t="s">
        <v>699</v>
      </c>
      <c r="DS18" s="44" t="s">
        <v>710</v>
      </c>
      <c r="DT18" s="44" t="s">
        <v>710</v>
      </c>
      <c r="DU18" s="44" t="s">
        <v>711</v>
      </c>
      <c r="DV18" s="44" t="s">
        <v>712</v>
      </c>
      <c r="DW18" s="44" t="s">
        <v>713</v>
      </c>
      <c r="DX18" s="44" t="s">
        <v>713</v>
      </c>
      <c r="DY18" s="44" t="s">
        <v>714</v>
      </c>
      <c r="DZ18" s="44" t="s">
        <v>709</v>
      </c>
      <c r="EA18" s="44" t="s">
        <v>715</v>
      </c>
      <c r="EB18" s="44" t="s">
        <v>716</v>
      </c>
      <c r="EC18" s="44" t="s">
        <v>716</v>
      </c>
      <c r="ED18" s="44" t="s">
        <v>716</v>
      </c>
      <c r="EE18" s="44" t="s">
        <v>716</v>
      </c>
      <c r="EF18" s="44" t="s">
        <v>717</v>
      </c>
      <c r="EG18" s="44" t="s">
        <v>717</v>
      </c>
      <c r="EH18" s="44" t="s">
        <v>709</v>
      </c>
      <c r="EI18" s="44" t="s">
        <v>709</v>
      </c>
      <c r="EJ18" s="44" t="s">
        <v>718</v>
      </c>
      <c r="EK18" s="44" t="s">
        <v>719</v>
      </c>
      <c r="EL18" s="44" t="s">
        <v>683</v>
      </c>
      <c r="EM18" s="44" t="s">
        <v>720</v>
      </c>
      <c r="EN18" s="44" t="s">
        <v>680</v>
      </c>
      <c r="EO18" s="44" t="s">
        <v>718</v>
      </c>
      <c r="EP18" s="44" t="s">
        <v>673</v>
      </c>
      <c r="EQ18" s="44" t="s">
        <v>709</v>
      </c>
      <c r="ER18" s="44" t="s">
        <v>721</v>
      </c>
      <c r="ES18" s="44" t="s">
        <v>699</v>
      </c>
      <c r="ET18" s="44" t="s">
        <v>722</v>
      </c>
      <c r="EU18" s="44" t="s">
        <v>723</v>
      </c>
      <c r="EV18" s="44" t="s">
        <v>724</v>
      </c>
      <c r="EW18" s="44" t="s">
        <v>725</v>
      </c>
      <c r="EX18" s="44" t="s">
        <v>726</v>
      </c>
      <c r="EY18" s="44" t="s">
        <v>727</v>
      </c>
      <c r="EZ18" s="34" t="s">
        <v>699</v>
      </c>
      <c r="FA18" s="34" t="s">
        <v>727</v>
      </c>
      <c r="FB18" s="40" t="s">
        <v>728</v>
      </c>
      <c r="FC18" s="40" t="s">
        <v>683</v>
      </c>
      <c r="FD18" s="44" t="s">
        <v>727</v>
      </c>
      <c r="FE18" s="34" t="s">
        <v>699</v>
      </c>
      <c r="FF18" s="36" t="s">
        <v>727</v>
      </c>
      <c r="FG18" s="34"/>
      <c r="FH18" s="34"/>
      <c r="FI18" s="44" t="s">
        <v>727</v>
      </c>
      <c r="FJ18" s="34" t="s">
        <v>699</v>
      </c>
      <c r="FK18" s="36" t="s">
        <v>727</v>
      </c>
      <c r="FL18" s="34"/>
      <c r="FM18" s="34"/>
      <c r="FN18" s="44" t="s">
        <v>727</v>
      </c>
      <c r="FO18" s="34" t="s">
        <v>699</v>
      </c>
      <c r="FP18" s="36" t="s">
        <v>727</v>
      </c>
      <c r="FQ18" s="34"/>
      <c r="FR18" s="34"/>
      <c r="FS18" s="44" t="s">
        <v>727</v>
      </c>
      <c r="FT18" s="34" t="s">
        <v>699</v>
      </c>
      <c r="FU18" s="36" t="s">
        <v>727</v>
      </c>
      <c r="FV18" s="34"/>
      <c r="FW18" s="34"/>
      <c r="FX18" s="36" t="s">
        <v>709</v>
      </c>
      <c r="FY18" s="36" t="s">
        <v>709</v>
      </c>
      <c r="FZ18" s="36" t="s">
        <v>709</v>
      </c>
      <c r="GA18" s="36" t="s">
        <v>709</v>
      </c>
      <c r="GB18" s="36" t="s">
        <v>728</v>
      </c>
    </row>
    <row r="19" spans="1:184" ht="45">
      <c r="A19" s="33" t="s">
        <v>323</v>
      </c>
      <c r="B19" s="100" t="s">
        <v>729</v>
      </c>
      <c r="C19" s="32"/>
      <c r="D19" s="101" t="s">
        <v>730</v>
      </c>
      <c r="E19" s="101" t="s">
        <v>731</v>
      </c>
      <c r="F19" s="101" t="s">
        <v>732</v>
      </c>
      <c r="G19" s="102" t="s">
        <v>733</v>
      </c>
      <c r="H19" s="101" t="s">
        <v>734</v>
      </c>
      <c r="I19" s="101" t="s">
        <v>735</v>
      </c>
      <c r="J19" s="102" t="s">
        <v>736</v>
      </c>
      <c r="K19" s="101" t="s">
        <v>737</v>
      </c>
      <c r="L19" s="32"/>
      <c r="M19" s="81"/>
      <c r="N19" s="81"/>
      <c r="O19" s="81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47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7" t="s">
        <v>738</v>
      </c>
      <c r="AL19" s="101" t="s">
        <v>739</v>
      </c>
      <c r="AM19" s="101" t="s">
        <v>740</v>
      </c>
      <c r="AN19" s="101" t="s">
        <v>741</v>
      </c>
      <c r="AO19" s="48" t="s">
        <v>742</v>
      </c>
      <c r="AP19" s="101" t="s">
        <v>743</v>
      </c>
      <c r="AQ19" s="101" t="s">
        <v>744</v>
      </c>
      <c r="AR19" s="101" t="s">
        <v>745</v>
      </c>
      <c r="AS19" s="101" t="s">
        <v>746</v>
      </c>
      <c r="AT19" s="101" t="s">
        <v>747</v>
      </c>
      <c r="AU19" s="101" t="s">
        <v>737</v>
      </c>
      <c r="AV19" s="101" t="s">
        <v>748</v>
      </c>
      <c r="AW19" s="101" t="s">
        <v>749</v>
      </c>
      <c r="AX19" s="101" t="s">
        <v>750</v>
      </c>
      <c r="AY19" s="101" t="s">
        <v>751</v>
      </c>
      <c r="AZ19" s="102" t="s">
        <v>752</v>
      </c>
      <c r="BA19" s="102" t="s">
        <v>753</v>
      </c>
      <c r="BB19" s="102" t="s">
        <v>754</v>
      </c>
      <c r="BC19" s="102" t="s">
        <v>755</v>
      </c>
      <c r="BD19" s="102" t="s">
        <v>756</v>
      </c>
      <c r="BE19" s="101" t="s">
        <v>730</v>
      </c>
      <c r="BF19" s="102" t="s">
        <v>757</v>
      </c>
      <c r="BG19" s="103" t="s">
        <v>743</v>
      </c>
      <c r="BH19" s="103" t="s">
        <v>758</v>
      </c>
      <c r="BI19" s="103" t="s">
        <v>759</v>
      </c>
      <c r="BJ19" s="101" t="s">
        <v>760</v>
      </c>
      <c r="BK19" s="102" t="s">
        <v>761</v>
      </c>
      <c r="BL19" s="102" t="s">
        <v>762</v>
      </c>
      <c r="BM19" s="102" t="s">
        <v>763</v>
      </c>
      <c r="BN19" s="101" t="s">
        <v>764</v>
      </c>
      <c r="BO19" s="102" t="s">
        <v>733</v>
      </c>
      <c r="BP19" s="102" t="s">
        <v>765</v>
      </c>
      <c r="BQ19" s="101" t="s">
        <v>766</v>
      </c>
      <c r="BR19" s="103" t="s">
        <v>767</v>
      </c>
      <c r="BS19" s="103" t="s">
        <v>768</v>
      </c>
      <c r="BT19" s="103" t="s">
        <v>769</v>
      </c>
      <c r="BU19" s="103" t="s">
        <v>770</v>
      </c>
      <c r="BV19" s="49" t="s">
        <v>771</v>
      </c>
      <c r="BW19" s="49" t="s">
        <v>772</v>
      </c>
      <c r="BX19" s="49" t="s">
        <v>773</v>
      </c>
      <c r="BY19" s="99" t="s">
        <v>774</v>
      </c>
      <c r="BZ19" s="99" t="s">
        <v>775</v>
      </c>
      <c r="CA19" s="99" t="s">
        <v>776</v>
      </c>
      <c r="CB19" s="99" t="s">
        <v>777</v>
      </c>
      <c r="CC19" s="99" t="s">
        <v>778</v>
      </c>
      <c r="CD19" s="99" t="s">
        <v>779</v>
      </c>
      <c r="CE19" s="99" t="s">
        <v>780</v>
      </c>
      <c r="CF19" s="99" t="s">
        <v>781</v>
      </c>
      <c r="CG19" s="35"/>
      <c r="CH19" s="101" t="s">
        <v>782</v>
      </c>
      <c r="CI19" s="101" t="s">
        <v>783</v>
      </c>
      <c r="CJ19" s="101" t="s">
        <v>784</v>
      </c>
      <c r="CK19" s="101" t="s">
        <v>785</v>
      </c>
      <c r="CL19" s="101" t="s">
        <v>786</v>
      </c>
      <c r="CM19" s="101" t="s">
        <v>787</v>
      </c>
      <c r="CN19" s="101" t="s">
        <v>788</v>
      </c>
      <c r="CO19" s="101" t="s">
        <v>789</v>
      </c>
      <c r="CP19" s="101" t="s">
        <v>790</v>
      </c>
      <c r="CQ19" s="101" t="s">
        <v>791</v>
      </c>
      <c r="CR19" s="101" t="s">
        <v>792</v>
      </c>
      <c r="CS19" s="101" t="s">
        <v>793</v>
      </c>
      <c r="CT19" s="101" t="s">
        <v>794</v>
      </c>
      <c r="CU19" s="101" t="s">
        <v>795</v>
      </c>
      <c r="CV19" s="101" t="s">
        <v>796</v>
      </c>
      <c r="CW19" s="101" t="s">
        <v>797</v>
      </c>
      <c r="CX19" s="101" t="s">
        <v>798</v>
      </c>
      <c r="CY19" s="101" t="s">
        <v>773</v>
      </c>
      <c r="CZ19" s="101" t="s">
        <v>799</v>
      </c>
      <c r="DA19" s="101" t="s">
        <v>800</v>
      </c>
      <c r="DB19" s="101" t="s">
        <v>801</v>
      </c>
      <c r="DC19" s="101" t="s">
        <v>802</v>
      </c>
      <c r="DD19" s="101" t="s">
        <v>803</v>
      </c>
      <c r="DE19" s="101" t="s">
        <v>804</v>
      </c>
      <c r="DF19" s="101" t="s">
        <v>805</v>
      </c>
      <c r="DG19" s="101" t="s">
        <v>806</v>
      </c>
      <c r="DH19" s="101" t="s">
        <v>807</v>
      </c>
      <c r="DI19" s="101" t="s">
        <v>808</v>
      </c>
      <c r="DJ19" s="101" t="s">
        <v>809</v>
      </c>
      <c r="DK19" s="101" t="s">
        <v>810</v>
      </c>
      <c r="DL19" s="101" t="s">
        <v>811</v>
      </c>
      <c r="DM19" s="101" t="s">
        <v>812</v>
      </c>
      <c r="DN19" s="101" t="s">
        <v>813</v>
      </c>
      <c r="DO19" s="101" t="s">
        <v>814</v>
      </c>
      <c r="DP19" s="103" t="s">
        <v>815</v>
      </c>
      <c r="DQ19" s="101" t="s">
        <v>816</v>
      </c>
      <c r="DR19" s="101" t="s">
        <v>817</v>
      </c>
      <c r="DS19" s="101" t="s">
        <v>818</v>
      </c>
      <c r="DT19" s="101" t="s">
        <v>819</v>
      </c>
      <c r="DU19" s="101" t="s">
        <v>820</v>
      </c>
      <c r="DV19" s="101" t="s">
        <v>821</v>
      </c>
      <c r="DW19" s="101" t="s">
        <v>822</v>
      </c>
      <c r="DX19" s="101" t="s">
        <v>823</v>
      </c>
      <c r="DY19" s="101" t="s">
        <v>824</v>
      </c>
      <c r="DZ19" s="103" t="s">
        <v>825</v>
      </c>
      <c r="EA19" s="104" t="s">
        <v>826</v>
      </c>
      <c r="EB19" s="101" t="s">
        <v>827</v>
      </c>
      <c r="EC19" s="101" t="s">
        <v>828</v>
      </c>
      <c r="ED19" s="101" t="s">
        <v>829</v>
      </c>
      <c r="EE19" s="101" t="s">
        <v>830</v>
      </c>
      <c r="EF19" s="101" t="s">
        <v>831</v>
      </c>
      <c r="EG19" s="101" t="s">
        <v>832</v>
      </c>
      <c r="EH19" s="101" t="s">
        <v>833</v>
      </c>
      <c r="EI19" s="103" t="s">
        <v>834</v>
      </c>
      <c r="EJ19" s="101" t="s">
        <v>835</v>
      </c>
      <c r="EK19" s="103" t="s">
        <v>836</v>
      </c>
      <c r="EL19" s="101" t="s">
        <v>837</v>
      </c>
      <c r="EM19" s="101" t="s">
        <v>838</v>
      </c>
      <c r="EN19" s="101" t="s">
        <v>839</v>
      </c>
      <c r="EO19" s="101" t="s">
        <v>840</v>
      </c>
      <c r="EP19" s="103" t="s">
        <v>841</v>
      </c>
      <c r="EQ19" s="101" t="s">
        <v>842</v>
      </c>
      <c r="ER19" s="101" t="s">
        <v>843</v>
      </c>
      <c r="ES19" s="101" t="s">
        <v>844</v>
      </c>
      <c r="ET19" s="101" t="s">
        <v>845</v>
      </c>
      <c r="EU19" s="101" t="s">
        <v>846</v>
      </c>
      <c r="EV19" s="101" t="s">
        <v>847</v>
      </c>
      <c r="EW19" s="101" t="s">
        <v>848</v>
      </c>
      <c r="EX19" s="101" t="s">
        <v>849</v>
      </c>
      <c r="EY19" s="101" t="s">
        <v>850</v>
      </c>
      <c r="EZ19" s="101" t="s">
        <v>851</v>
      </c>
      <c r="FA19" s="101" t="s">
        <v>852</v>
      </c>
      <c r="FB19" s="105" t="s">
        <v>853</v>
      </c>
      <c r="FC19" s="105" t="s">
        <v>854</v>
      </c>
      <c r="FD19" s="101" t="s">
        <v>850</v>
      </c>
      <c r="FE19" s="101" t="s">
        <v>851</v>
      </c>
      <c r="FF19" s="101" t="s">
        <v>852</v>
      </c>
      <c r="FG19" s="105" t="s">
        <v>855</v>
      </c>
      <c r="FH19" s="105" t="s">
        <v>855</v>
      </c>
      <c r="FI19" s="101" t="s">
        <v>850</v>
      </c>
      <c r="FJ19" s="101" t="s">
        <v>851</v>
      </c>
      <c r="FK19" s="101" t="s">
        <v>852</v>
      </c>
      <c r="FL19" s="105" t="s">
        <v>855</v>
      </c>
      <c r="FM19" s="105" t="s">
        <v>855</v>
      </c>
      <c r="FN19" s="101" t="s">
        <v>850</v>
      </c>
      <c r="FO19" s="101" t="s">
        <v>851</v>
      </c>
      <c r="FP19" s="101" t="s">
        <v>852</v>
      </c>
      <c r="FQ19" s="105" t="s">
        <v>855</v>
      </c>
      <c r="FR19" s="105" t="s">
        <v>855</v>
      </c>
      <c r="FS19" s="101" t="s">
        <v>850</v>
      </c>
      <c r="FT19" s="101" t="s">
        <v>851</v>
      </c>
      <c r="FU19" s="101" t="s">
        <v>852</v>
      </c>
      <c r="FV19" s="105" t="s">
        <v>855</v>
      </c>
      <c r="FW19" s="105" t="s">
        <v>855</v>
      </c>
      <c r="FX19" s="101" t="s">
        <v>856</v>
      </c>
      <c r="FY19" s="101" t="s">
        <v>857</v>
      </c>
      <c r="FZ19" s="101" t="s">
        <v>858</v>
      </c>
      <c r="GA19" s="101" t="s">
        <v>859</v>
      </c>
      <c r="GB19" s="101" t="s">
        <v>860</v>
      </c>
    </row>
  </sheetData>
  <conditionalFormatting sqref="AV17:BD17 BG17 AP17:AT17 BV17:BX17 CC17:CF17 P17:AN17 C17:L17">
    <cfRule type="cellIs" dxfId="53" priority="6" operator="equal">
      <formula>"ja"</formula>
    </cfRule>
  </conditionalFormatting>
  <conditionalFormatting sqref="BH17:BU17">
    <cfRule type="cellIs" dxfId="52" priority="5" operator="equal">
      <formula>"ja"</formula>
    </cfRule>
  </conditionalFormatting>
  <conditionalFormatting sqref="CG17">
    <cfRule type="cellIs" dxfId="51" priority="4" operator="equal">
      <formula>"ja"</formula>
    </cfRule>
  </conditionalFormatting>
  <conditionalFormatting sqref="AK17">
    <cfRule type="cellIs" dxfId="50" priority="3" operator="equal">
      <formula>"ja"</formula>
    </cfRule>
  </conditionalFormatting>
  <conditionalFormatting sqref="CH17:GB17">
    <cfRule type="cellIs" dxfId="49" priority="2" operator="equal">
      <formula>"ja"</formula>
    </cfRule>
  </conditionalFormatting>
  <conditionalFormatting sqref="BY17:CB17">
    <cfRule type="cellIs" dxfId="48" priority="1" operator="equal">
      <formula>"ja"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FFC000"/>
  </sheetPr>
  <dimension ref="A1:I92"/>
  <sheetViews>
    <sheetView workbookViewId="0">
      <selection activeCell="D32" sqref="D32"/>
    </sheetView>
  </sheetViews>
  <sheetFormatPr baseColWidth="10" defaultColWidth="11.42578125" defaultRowHeight="15"/>
  <cols>
    <col min="1" max="1" width="13" customWidth="1"/>
    <col min="2" max="2" width="24.28515625" customWidth="1"/>
    <col min="3" max="3" width="12" customWidth="1"/>
  </cols>
  <sheetData>
    <row r="1" spans="1:9" ht="24" thickBot="1">
      <c r="A1" s="64" t="s">
        <v>86</v>
      </c>
      <c r="D1" s="68" t="s">
        <v>87</v>
      </c>
      <c r="E1" s="69" t="s">
        <v>88</v>
      </c>
      <c r="F1" s="68" t="s">
        <v>928</v>
      </c>
    </row>
    <row r="2" spans="1:9" ht="15.75" thickTop="1"/>
    <row r="3" spans="1:9" ht="33.75" customHeight="1">
      <c r="A3" s="298" t="s">
        <v>876</v>
      </c>
      <c r="B3" s="299"/>
    </row>
    <row r="4" spans="1:9">
      <c r="A4" s="63" t="s">
        <v>862</v>
      </c>
      <c r="B4" s="54"/>
    </row>
    <row r="6" spans="1:9" ht="29.25" customHeight="1">
      <c r="A6" s="298" t="s">
        <v>877</v>
      </c>
      <c r="B6" s="299"/>
    </row>
    <row r="7" spans="1:9">
      <c r="A7" s="63" t="s">
        <v>863</v>
      </c>
      <c r="B7" s="54"/>
    </row>
    <row r="10" spans="1:9" ht="22.5">
      <c r="A10" s="52"/>
    </row>
    <row r="11" spans="1:9">
      <c r="I11" s="61" t="s">
        <v>89</v>
      </c>
    </row>
    <row r="12" spans="1:9">
      <c r="I12" s="61" t="str">
        <f>CONCATENATE(Auftragsdaten!C25,"-",Auftragsdaten!G8,"-",Auftragsdaten!C10,"-",Auftragsdaten!G21,"-","ZUR WIEDERVERWERTUNG")</f>
        <v>----ZUR WIEDERVERWERTUNG</v>
      </c>
    </row>
    <row r="14" spans="1:9">
      <c r="I14" s="62" t="s">
        <v>90</v>
      </c>
    </row>
    <row r="16" spans="1:9" ht="20.25" thickBot="1">
      <c r="A16" s="53" t="s">
        <v>939</v>
      </c>
    </row>
    <row r="17" spans="1:7" ht="15.75" thickTop="1"/>
    <row r="18" spans="1:7" ht="17.25">
      <c r="A18" s="183" t="s">
        <v>140</v>
      </c>
      <c r="G18" s="55"/>
    </row>
    <row r="19" spans="1:7">
      <c r="A19" s="184" t="s">
        <v>940</v>
      </c>
      <c r="B19" s="184" t="s">
        <v>941</v>
      </c>
    </row>
    <row r="20" spans="1:7">
      <c r="A20" s="32" t="s">
        <v>144</v>
      </c>
      <c r="B20" s="32" t="s">
        <v>145</v>
      </c>
    </row>
    <row r="21" spans="1:7">
      <c r="A21" s="32" t="s">
        <v>148</v>
      </c>
      <c r="B21" s="32" t="s">
        <v>149</v>
      </c>
    </row>
    <row r="22" spans="1:7">
      <c r="A22" s="32" t="s">
        <v>152</v>
      </c>
      <c r="B22" s="32" t="s">
        <v>153</v>
      </c>
    </row>
    <row r="23" spans="1:7">
      <c r="A23" s="32" t="s">
        <v>156</v>
      </c>
      <c r="B23" s="32" t="s">
        <v>157</v>
      </c>
    </row>
    <row r="24" spans="1:7">
      <c r="A24" s="32" t="s">
        <v>160</v>
      </c>
      <c r="B24" s="32" t="s">
        <v>161</v>
      </c>
    </row>
    <row r="25" spans="1:7">
      <c r="A25" s="32" t="s">
        <v>162</v>
      </c>
      <c r="B25" s="32" t="s">
        <v>163</v>
      </c>
    </row>
    <row r="26" spans="1:7">
      <c r="A26" s="32" t="s">
        <v>164</v>
      </c>
      <c r="B26" s="32" t="s">
        <v>165</v>
      </c>
    </row>
    <row r="27" spans="1:7">
      <c r="A27" s="32" t="s">
        <v>168</v>
      </c>
      <c r="B27" s="32" t="s">
        <v>169</v>
      </c>
    </row>
    <row r="28" spans="1:7">
      <c r="A28" s="32" t="s">
        <v>170</v>
      </c>
      <c r="B28" s="32" t="s">
        <v>171</v>
      </c>
    </row>
    <row r="29" spans="1:7">
      <c r="A29" s="32" t="s">
        <v>172</v>
      </c>
      <c r="B29" s="32" t="s">
        <v>173</v>
      </c>
    </row>
    <row r="30" spans="1:7">
      <c r="A30" s="32" t="s">
        <v>174</v>
      </c>
      <c r="B30" s="32" t="s">
        <v>175</v>
      </c>
    </row>
    <row r="31" spans="1:7">
      <c r="A31" s="32" t="s">
        <v>178</v>
      </c>
      <c r="B31" s="32" t="s">
        <v>179</v>
      </c>
    </row>
    <row r="32" spans="1:7">
      <c r="A32" s="32" t="s">
        <v>181</v>
      </c>
      <c r="B32" s="32" t="s">
        <v>182</v>
      </c>
    </row>
    <row r="33" spans="1:2">
      <c r="A33" s="32" t="s">
        <v>186</v>
      </c>
      <c r="B33" s="32" t="s">
        <v>187</v>
      </c>
    </row>
    <row r="34" spans="1:2">
      <c r="A34" s="32" t="s">
        <v>190</v>
      </c>
      <c r="B34" s="32" t="s">
        <v>191</v>
      </c>
    </row>
    <row r="35" spans="1:2">
      <c r="A35" s="32" t="s">
        <v>195</v>
      </c>
      <c r="B35" s="32" t="s">
        <v>196</v>
      </c>
    </row>
    <row r="36" spans="1:2">
      <c r="A36" s="32" t="s">
        <v>198</v>
      </c>
      <c r="B36" s="32" t="s">
        <v>199</v>
      </c>
    </row>
    <row r="37" spans="1:2">
      <c r="A37" s="32" t="s">
        <v>200</v>
      </c>
      <c r="B37" s="32" t="s">
        <v>201</v>
      </c>
    </row>
    <row r="38" spans="1:2">
      <c r="A38" s="32" t="s">
        <v>203</v>
      </c>
      <c r="B38" s="32" t="s">
        <v>204</v>
      </c>
    </row>
    <row r="39" spans="1:2">
      <c r="A39" s="32" t="s">
        <v>205</v>
      </c>
      <c r="B39" s="32" t="s">
        <v>206</v>
      </c>
    </row>
    <row r="40" spans="1:2">
      <c r="A40" s="32" t="s">
        <v>209</v>
      </c>
      <c r="B40" s="32" t="s">
        <v>210</v>
      </c>
    </row>
    <row r="41" spans="1:2">
      <c r="A41" s="32" t="s">
        <v>213</v>
      </c>
      <c r="B41" s="32" t="s">
        <v>214</v>
      </c>
    </row>
    <row r="42" spans="1:2">
      <c r="A42" s="32" t="s">
        <v>217</v>
      </c>
      <c r="B42" s="32" t="s">
        <v>214</v>
      </c>
    </row>
    <row r="43" spans="1:2">
      <c r="A43" s="32" t="s">
        <v>218</v>
      </c>
      <c r="B43" s="32" t="s">
        <v>219</v>
      </c>
    </row>
    <row r="44" spans="1:2">
      <c r="A44" s="32" t="s">
        <v>220</v>
      </c>
      <c r="B44" s="32" t="s">
        <v>221</v>
      </c>
    </row>
    <row r="45" spans="1:2">
      <c r="A45" s="32" t="s">
        <v>222</v>
      </c>
      <c r="B45" s="32" t="s">
        <v>223</v>
      </c>
    </row>
    <row r="46" spans="1:2">
      <c r="A46" s="32" t="s">
        <v>224</v>
      </c>
      <c r="B46" s="32" t="s">
        <v>225</v>
      </c>
    </row>
    <row r="47" spans="1:2">
      <c r="A47" s="32" t="s">
        <v>226</v>
      </c>
      <c r="B47" s="32" t="s">
        <v>227</v>
      </c>
    </row>
    <row r="48" spans="1:2">
      <c r="A48" s="32" t="s">
        <v>228</v>
      </c>
      <c r="B48" s="32" t="s">
        <v>229</v>
      </c>
    </row>
    <row r="49" spans="1:2">
      <c r="A49" s="32" t="s">
        <v>230</v>
      </c>
      <c r="B49" s="32" t="s">
        <v>231</v>
      </c>
    </row>
    <row r="50" spans="1:2">
      <c r="A50" s="32" t="s">
        <v>232</v>
      </c>
      <c r="B50" s="32" t="s">
        <v>233</v>
      </c>
    </row>
    <row r="51" spans="1:2">
      <c r="A51" s="32" t="s">
        <v>234</v>
      </c>
      <c r="B51" s="32" t="s">
        <v>235</v>
      </c>
    </row>
    <row r="52" spans="1:2">
      <c r="A52" s="32" t="s">
        <v>237</v>
      </c>
      <c r="B52" s="32" t="s">
        <v>238</v>
      </c>
    </row>
    <row r="53" spans="1:2">
      <c r="A53" s="32" t="s">
        <v>239</v>
      </c>
      <c r="B53" s="32" t="s">
        <v>240</v>
      </c>
    </row>
    <row r="54" spans="1:2">
      <c r="A54" s="32" t="s">
        <v>241</v>
      </c>
      <c r="B54" s="32" t="s">
        <v>242</v>
      </c>
    </row>
    <row r="55" spans="1:2">
      <c r="A55" s="32" t="s">
        <v>243</v>
      </c>
      <c r="B55" s="32" t="s">
        <v>244</v>
      </c>
    </row>
    <row r="56" spans="1:2">
      <c r="A56" s="32" t="s">
        <v>245</v>
      </c>
      <c r="B56" s="32" t="s">
        <v>246</v>
      </c>
    </row>
    <row r="57" spans="1:2">
      <c r="A57" s="32" t="s">
        <v>247</v>
      </c>
      <c r="B57" s="32" t="s">
        <v>248</v>
      </c>
    </row>
    <row r="58" spans="1:2">
      <c r="A58" s="32" t="s">
        <v>249</v>
      </c>
      <c r="B58" s="32" t="s">
        <v>250</v>
      </c>
    </row>
    <row r="59" spans="1:2">
      <c r="A59" s="32" t="s">
        <v>251</v>
      </c>
      <c r="B59" s="32" t="s">
        <v>252</v>
      </c>
    </row>
    <row r="60" spans="1:2">
      <c r="A60" s="32" t="s">
        <v>253</v>
      </c>
      <c r="B60" s="32" t="s">
        <v>254</v>
      </c>
    </row>
    <row r="61" spans="1:2">
      <c r="A61" s="32" t="s">
        <v>255</v>
      </c>
      <c r="B61" s="32" t="s">
        <v>256</v>
      </c>
    </row>
    <row r="62" spans="1:2">
      <c r="A62" s="32" t="s">
        <v>257</v>
      </c>
      <c r="B62" s="32" t="s">
        <v>258</v>
      </c>
    </row>
    <row r="63" spans="1:2">
      <c r="A63" s="32" t="s">
        <v>259</v>
      </c>
      <c r="B63" s="32" t="s">
        <v>260</v>
      </c>
    </row>
    <row r="64" spans="1:2">
      <c r="A64" s="32" t="s">
        <v>261</v>
      </c>
      <c r="B64" s="32" t="s">
        <v>262</v>
      </c>
    </row>
    <row r="65" spans="1:2">
      <c r="A65" s="32" t="s">
        <v>263</v>
      </c>
      <c r="B65" s="32" t="s">
        <v>264</v>
      </c>
    </row>
    <row r="66" spans="1:2">
      <c r="A66" s="32" t="s">
        <v>265</v>
      </c>
      <c r="B66" s="32" t="s">
        <v>266</v>
      </c>
    </row>
    <row r="67" spans="1:2">
      <c r="A67" s="32" t="s">
        <v>267</v>
      </c>
      <c r="B67" s="32" t="s">
        <v>268</v>
      </c>
    </row>
    <row r="68" spans="1:2">
      <c r="A68" s="32" t="s">
        <v>269</v>
      </c>
      <c r="B68" s="32" t="s">
        <v>270</v>
      </c>
    </row>
    <row r="69" spans="1:2">
      <c r="A69" s="32" t="s">
        <v>271</v>
      </c>
      <c r="B69" s="32" t="s">
        <v>272</v>
      </c>
    </row>
    <row r="70" spans="1:2">
      <c r="A70" s="32" t="s">
        <v>273</v>
      </c>
      <c r="B70" s="32" t="s">
        <v>274</v>
      </c>
    </row>
    <row r="71" spans="1:2">
      <c r="A71" s="32" t="s">
        <v>275</v>
      </c>
      <c r="B71" s="32" t="s">
        <v>276</v>
      </c>
    </row>
    <row r="72" spans="1:2">
      <c r="A72" s="32" t="s">
        <v>277</v>
      </c>
      <c r="B72" s="32" t="s">
        <v>278</v>
      </c>
    </row>
    <row r="73" spans="1:2">
      <c r="A73" s="32" t="s">
        <v>279</v>
      </c>
      <c r="B73" s="32" t="s">
        <v>280</v>
      </c>
    </row>
    <row r="74" spans="1:2">
      <c r="A74" s="32" t="s">
        <v>281</v>
      </c>
      <c r="B74" s="32" t="s">
        <v>282</v>
      </c>
    </row>
    <row r="75" spans="1:2">
      <c r="A75" s="32" t="s">
        <v>283</v>
      </c>
      <c r="B75" s="32" t="s">
        <v>284</v>
      </c>
    </row>
    <row r="76" spans="1:2">
      <c r="A76" s="32" t="s">
        <v>285</v>
      </c>
      <c r="B76" s="32" t="s">
        <v>286</v>
      </c>
    </row>
    <row r="77" spans="1:2">
      <c r="A77" s="32" t="s">
        <v>287</v>
      </c>
      <c r="B77" s="32" t="s">
        <v>288</v>
      </c>
    </row>
    <row r="78" spans="1:2">
      <c r="A78" s="32" t="s">
        <v>289</v>
      </c>
      <c r="B78" s="32" t="s">
        <v>290</v>
      </c>
    </row>
    <row r="79" spans="1:2">
      <c r="A79" s="32" t="s">
        <v>291</v>
      </c>
      <c r="B79" s="32" t="s">
        <v>292</v>
      </c>
    </row>
    <row r="80" spans="1:2">
      <c r="A80" s="32" t="s">
        <v>293</v>
      </c>
      <c r="B80" s="32" t="s">
        <v>292</v>
      </c>
    </row>
    <row r="81" spans="1:2">
      <c r="A81" s="32" t="s">
        <v>294</v>
      </c>
      <c r="B81" s="32" t="s">
        <v>295</v>
      </c>
    </row>
    <row r="82" spans="1:2">
      <c r="A82" s="32" t="s">
        <v>296</v>
      </c>
      <c r="B82" s="32" t="s">
        <v>297</v>
      </c>
    </row>
    <row r="83" spans="1:2">
      <c r="A83" s="32" t="s">
        <v>298</v>
      </c>
      <c r="B83" s="32" t="s">
        <v>299</v>
      </c>
    </row>
    <row r="84" spans="1:2">
      <c r="A84" s="32" t="s">
        <v>300</v>
      </c>
      <c r="B84" s="32" t="s">
        <v>301</v>
      </c>
    </row>
    <row r="85" spans="1:2">
      <c r="A85" s="32" t="s">
        <v>302</v>
      </c>
      <c r="B85" s="32" t="s">
        <v>303</v>
      </c>
    </row>
    <row r="86" spans="1:2">
      <c r="A86" s="32" t="s">
        <v>304</v>
      </c>
      <c r="B86" s="32" t="s">
        <v>305</v>
      </c>
    </row>
    <row r="87" spans="1:2">
      <c r="A87" s="32" t="s">
        <v>306</v>
      </c>
      <c r="B87" s="32" t="s">
        <v>307</v>
      </c>
    </row>
    <row r="88" spans="1:2">
      <c r="A88" s="32" t="s">
        <v>308</v>
      </c>
      <c r="B88" s="32" t="s">
        <v>309</v>
      </c>
    </row>
    <row r="89" spans="1:2">
      <c r="A89" s="32" t="s">
        <v>310</v>
      </c>
      <c r="B89" s="32" t="s">
        <v>311</v>
      </c>
    </row>
    <row r="90" spans="1:2">
      <c r="A90" s="32" t="s">
        <v>312</v>
      </c>
      <c r="B90" s="32" t="s">
        <v>313</v>
      </c>
    </row>
    <row r="91" spans="1:2">
      <c r="A91" s="32" t="s">
        <v>314</v>
      </c>
      <c r="B91" s="32" t="s">
        <v>315</v>
      </c>
    </row>
    <row r="92" spans="1:2">
      <c r="A92" s="32" t="s">
        <v>316</v>
      </c>
      <c r="B92" s="32" t="s">
        <v>317</v>
      </c>
    </row>
  </sheetData>
  <mergeCells count="2">
    <mergeCell ref="A3:B3"/>
    <mergeCell ref="A6:B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_Gesamt_N1bis3.N_Gesamt_N1bis3">
                <anchor moveWithCells="1" sizeWithCells="1">
                  <from>
                    <xdr:col>3</xdr:col>
                    <xdr:colOff>9525</xdr:colOff>
                    <xdr:row>1</xdr:row>
                    <xdr:rowOff>85725</xdr:rowOff>
                  </from>
                  <to>
                    <xdr:col>7</xdr:col>
                    <xdr:colOff>409575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xlsm_wiederverwerten.xlsm_wiederverwerten">
                <anchor moveWithCells="1" sizeWithCells="1">
                  <from>
                    <xdr:col>8</xdr:col>
                    <xdr:colOff>57150</xdr:colOff>
                    <xdr:row>1</xdr:row>
                    <xdr:rowOff>95250</xdr:rowOff>
                  </from>
                  <to>
                    <xdr:col>12</xdr:col>
                    <xdr:colOff>428625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92D050"/>
  </sheetPr>
  <dimension ref="A1"/>
  <sheetViews>
    <sheetView workbookViewId="0"/>
  </sheetViews>
  <sheetFormatPr baseColWidth="10" defaultColWidth="11.42578125" defaultRowHeight="1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100"/>
  <sheetViews>
    <sheetView workbookViewId="0"/>
  </sheetViews>
  <sheetFormatPr baseColWidth="10" defaultColWidth="11.42578125" defaultRowHeight="15"/>
  <cols>
    <col min="1" max="1" width="16.85546875" bestFit="1" customWidth="1"/>
  </cols>
  <sheetData>
    <row r="1" spans="1:3" ht="22.5">
      <c r="A1" s="52" t="s">
        <v>919</v>
      </c>
    </row>
    <row r="3" spans="1:3" ht="20.25" thickBot="1">
      <c r="A3" s="53" t="s">
        <v>92</v>
      </c>
    </row>
    <row r="4" spans="1:3" ht="21" thickTop="1">
      <c r="A4" s="65"/>
    </row>
    <row r="6" spans="1:3" ht="20.25" thickBot="1">
      <c r="A6" s="53" t="s">
        <v>93</v>
      </c>
    </row>
    <row r="7" spans="1:3" ht="21" thickTop="1">
      <c r="A7" s="65"/>
    </row>
    <row r="9" spans="1:3" ht="20.25" thickBot="1">
      <c r="A9" s="53" t="s">
        <v>20</v>
      </c>
    </row>
    <row r="10" spans="1:3" ht="21" thickTop="1">
      <c r="A10" s="65"/>
    </row>
    <row r="12" spans="1:3" ht="20.25" thickBot="1">
      <c r="A12" s="53" t="s">
        <v>94</v>
      </c>
    </row>
    <row r="13" spans="1:3" ht="21" thickTop="1">
      <c r="A13" s="66"/>
    </row>
    <row r="15" spans="1:3" ht="20.25" thickBot="1">
      <c r="A15" s="53" t="s">
        <v>17</v>
      </c>
    </row>
    <row r="16" spans="1:3" ht="30.75" thickTop="1">
      <c r="A16" s="67"/>
      <c r="B16" s="63"/>
      <c r="C16" s="63"/>
    </row>
    <row r="18" spans="1:3" ht="20.25" thickBot="1">
      <c r="A18" s="53" t="s">
        <v>937</v>
      </c>
    </row>
    <row r="19" spans="1:3" s="163" customFormat="1" ht="30.75" thickTop="1">
      <c r="A19" s="67"/>
      <c r="B19" s="63"/>
      <c r="C19" s="63"/>
    </row>
    <row r="20" spans="1:3" s="10" customFormat="1"/>
    <row r="21" spans="1:3" s="10" customFormat="1"/>
    <row r="22" spans="1:3" s="10" customFormat="1"/>
    <row r="23" spans="1:3" s="10" customFormat="1"/>
    <row r="24" spans="1:3" s="10" customFormat="1"/>
    <row r="25" spans="1:3" s="10" customFormat="1"/>
    <row r="26" spans="1:3" s="10" customFormat="1"/>
    <row r="27" spans="1:3" s="10" customFormat="1"/>
    <row r="28" spans="1:3" s="10" customFormat="1"/>
    <row r="29" spans="1:3" s="10" customFormat="1"/>
    <row r="30" spans="1:3" s="10" customFormat="1"/>
    <row r="31" spans="1:3" s="10" customFormat="1"/>
    <row r="32" spans="1:3" s="10" customFormat="1"/>
    <row r="33" s="10" customFormat="1"/>
    <row r="34" s="10" customFormat="1"/>
    <row r="35" s="10" customFormat="1"/>
    <row r="36" s="10" customFormat="1"/>
    <row r="37" s="10" customFormat="1"/>
    <row r="38" s="10" customFormat="1"/>
    <row r="39" s="10" customFormat="1"/>
    <row r="40" s="10" customFormat="1"/>
    <row r="41" s="10" customFormat="1"/>
    <row r="42" s="10" customFormat="1"/>
    <row r="43" s="10" customFormat="1"/>
    <row r="44" s="10" customFormat="1"/>
    <row r="45" s="10" customFormat="1"/>
    <row r="46" s="10" customFormat="1"/>
    <row r="47" s="10" customFormat="1"/>
    <row r="48" s="10" customFormat="1"/>
    <row r="49" s="10" customFormat="1"/>
    <row r="50" s="10" customFormat="1"/>
    <row r="51" s="10" customFormat="1"/>
    <row r="52" s="10" customFormat="1"/>
    <row r="53" s="10" customFormat="1"/>
    <row r="54" s="10" customFormat="1"/>
    <row r="55" s="10" customFormat="1"/>
    <row r="56" s="10" customFormat="1"/>
    <row r="57" s="10" customFormat="1"/>
    <row r="58" s="10" customFormat="1"/>
    <row r="59" s="10" customFormat="1"/>
    <row r="60" s="10" customFormat="1"/>
    <row r="61" s="10" customFormat="1"/>
    <row r="62" s="10" customFormat="1"/>
    <row r="63" s="10" customFormat="1"/>
    <row r="64" s="10" customFormat="1"/>
    <row r="65" s="10" customFormat="1"/>
    <row r="66" s="10" customFormat="1"/>
    <row r="67" s="10" customFormat="1"/>
    <row r="68" s="10" customFormat="1"/>
    <row r="69" s="10" customFormat="1"/>
    <row r="70" s="10" customFormat="1"/>
    <row r="71" s="10" customFormat="1"/>
    <row r="72" s="10" customFormat="1"/>
    <row r="73" s="10" customFormat="1"/>
    <row r="74" s="10" customFormat="1"/>
    <row r="75" s="10" customFormat="1"/>
    <row r="76" s="10" customFormat="1"/>
    <row r="77" s="10" customFormat="1"/>
    <row r="78" s="10" customFormat="1"/>
    <row r="79" s="10" customFormat="1"/>
    <row r="80" s="10" customFormat="1"/>
    <row r="81" s="10" customFormat="1"/>
    <row r="82" s="10" customFormat="1"/>
    <row r="83" s="10" customFormat="1"/>
    <row r="84" s="10" customFormat="1"/>
    <row r="85" s="10" customFormat="1"/>
    <row r="86" s="10" customFormat="1"/>
    <row r="87" s="10" customFormat="1"/>
    <row r="88" s="10" customFormat="1"/>
    <row r="89" s="10" customFormat="1"/>
    <row r="90" s="10" customFormat="1"/>
    <row r="91" s="10" customFormat="1"/>
    <row r="92" s="10" customFormat="1"/>
    <row r="93" s="10" customFormat="1"/>
    <row r="94" s="10" customFormat="1"/>
    <row r="95" s="10" customFormat="1"/>
    <row r="96" s="10" customFormat="1"/>
    <row r="97" s="10" customFormat="1"/>
    <row r="98" s="10" customFormat="1"/>
    <row r="99" s="10" customFormat="1"/>
    <row r="100" s="10" customFormat="1"/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</sheetPr>
  <dimension ref="A2:O202"/>
  <sheetViews>
    <sheetView tabSelected="1" workbookViewId="0"/>
  </sheetViews>
  <sheetFormatPr baseColWidth="10" defaultColWidth="11.42578125" defaultRowHeight="15"/>
  <sheetData>
    <row r="2" spans="1:9">
      <c r="H2" s="70">
        <f ca="1">TODAY()</f>
        <v>45692</v>
      </c>
      <c r="I2" t="str">
        <f>CONCATENATE(C11,"-",C6,"-",E4,"-",D8,"-")</f>
        <v>----</v>
      </c>
    </row>
    <row r="3" spans="1:9" ht="33">
      <c r="B3" s="71" t="s">
        <v>975</v>
      </c>
    </row>
    <row r="4" spans="1:9">
      <c r="B4" s="72"/>
    </row>
    <row r="5" spans="1:9">
      <c r="B5" s="72" t="s">
        <v>976</v>
      </c>
    </row>
    <row r="6" spans="1:9">
      <c r="B6" s="72"/>
    </row>
    <row r="7" spans="1:9" ht="20.25" thickBot="1">
      <c r="A7" s="73" t="s">
        <v>95</v>
      </c>
    </row>
    <row r="8" spans="1:9" ht="15.75" thickTop="1">
      <c r="B8" s="72" t="s">
        <v>926</v>
      </c>
    </row>
    <row r="9" spans="1:9">
      <c r="B9" s="72"/>
    </row>
    <row r="10" spans="1:9">
      <c r="B10" s="72" t="s">
        <v>96</v>
      </c>
    </row>
    <row r="11" spans="1:9">
      <c r="B11" s="72"/>
    </row>
    <row r="12" spans="1:9" ht="20.25" thickBot="1">
      <c r="A12" s="73" t="s">
        <v>97</v>
      </c>
    </row>
    <row r="13" spans="1:9" ht="15.75" thickTop="1">
      <c r="B13" s="72" t="s">
        <v>98</v>
      </c>
    </row>
    <row r="14" spans="1:9">
      <c r="B14" s="74" t="s">
        <v>99</v>
      </c>
    </row>
    <row r="15" spans="1:9">
      <c r="B15" s="74" t="s">
        <v>100</v>
      </c>
    </row>
    <row r="16" spans="1:9">
      <c r="B16" s="74" t="s">
        <v>101</v>
      </c>
    </row>
    <row r="17" spans="2:2">
      <c r="B17" s="72"/>
    </row>
    <row r="18" spans="2:2">
      <c r="B18" s="72" t="s">
        <v>102</v>
      </c>
    </row>
    <row r="19" spans="2:2">
      <c r="B19" s="72" t="s">
        <v>103</v>
      </c>
    </row>
    <row r="37" spans="1:2" ht="20.25" thickBot="1">
      <c r="A37" s="73" t="s">
        <v>104</v>
      </c>
    </row>
    <row r="38" spans="1:2" ht="18.75" thickTop="1" thickBot="1">
      <c r="B38" s="110" t="s">
        <v>870</v>
      </c>
    </row>
    <row r="39" spans="1:2" ht="15.75" thickTop="1">
      <c r="B39" s="75" t="s">
        <v>105</v>
      </c>
    </row>
    <row r="40" spans="1:2">
      <c r="B40" s="75" t="s">
        <v>106</v>
      </c>
    </row>
    <row r="41" spans="1:2">
      <c r="B41" s="75" t="s">
        <v>107</v>
      </c>
    </row>
    <row r="42" spans="1:2">
      <c r="B42" s="75" t="s">
        <v>108</v>
      </c>
    </row>
    <row r="43" spans="1:2">
      <c r="B43" s="75" t="s">
        <v>109</v>
      </c>
    </row>
    <row r="72" spans="2:11">
      <c r="B72" s="112" t="s">
        <v>873</v>
      </c>
    </row>
    <row r="73" spans="2:11" ht="61.5" customHeight="1">
      <c r="B73" s="301" t="s">
        <v>874</v>
      </c>
      <c r="C73" s="301"/>
      <c r="D73" s="301"/>
      <c r="E73" s="301"/>
      <c r="F73" s="301"/>
      <c r="G73" s="301"/>
      <c r="H73" s="301"/>
      <c r="I73" s="301"/>
      <c r="J73" s="301"/>
      <c r="K73" s="301"/>
    </row>
    <row r="74" spans="2:11" ht="47.25" customHeight="1">
      <c r="B74" s="301" t="s">
        <v>950</v>
      </c>
      <c r="C74" s="301"/>
      <c r="D74" s="301"/>
      <c r="E74" s="301"/>
      <c r="F74" s="301"/>
      <c r="G74" s="301"/>
      <c r="H74" s="301"/>
      <c r="I74" s="301"/>
      <c r="J74" s="301"/>
      <c r="K74" s="301"/>
    </row>
    <row r="75" spans="2:11" ht="30" customHeight="1">
      <c r="B75" s="301" t="s">
        <v>938</v>
      </c>
      <c r="C75" s="301"/>
      <c r="D75" s="301"/>
      <c r="E75" s="301"/>
      <c r="F75" s="301"/>
      <c r="G75" s="301"/>
      <c r="H75" s="301"/>
      <c r="I75" s="301"/>
      <c r="J75" s="301"/>
      <c r="K75" s="301"/>
    </row>
    <row r="77" spans="2:11" ht="18" thickBot="1">
      <c r="B77" s="110" t="s">
        <v>871</v>
      </c>
    </row>
    <row r="78" spans="2:11" ht="15.75" thickTop="1">
      <c r="B78" s="111" t="s">
        <v>110</v>
      </c>
    </row>
    <row r="100" spans="2:11">
      <c r="B100" s="112" t="s">
        <v>873</v>
      </c>
    </row>
    <row r="101" spans="2:11" ht="16.5" customHeight="1">
      <c r="B101" s="301" t="s">
        <v>875</v>
      </c>
      <c r="C101" s="301"/>
      <c r="D101" s="301"/>
      <c r="E101" s="301"/>
      <c r="F101" s="301"/>
      <c r="G101" s="301"/>
      <c r="H101" s="301"/>
      <c r="I101" s="301"/>
      <c r="J101" s="301"/>
      <c r="K101" s="301"/>
    </row>
    <row r="102" spans="2:11" ht="31.5" customHeight="1">
      <c r="B102" s="301" t="s">
        <v>927</v>
      </c>
      <c r="C102" s="301"/>
      <c r="D102" s="301"/>
      <c r="E102" s="301"/>
      <c r="F102" s="301"/>
      <c r="G102" s="301"/>
      <c r="H102" s="301"/>
      <c r="I102" s="301"/>
      <c r="J102" s="301"/>
      <c r="K102" s="301"/>
    </row>
    <row r="103" spans="2:11" ht="33" customHeight="1">
      <c r="B103" s="301" t="s">
        <v>963</v>
      </c>
      <c r="C103" s="301"/>
      <c r="D103" s="301"/>
      <c r="E103" s="301"/>
      <c r="F103" s="301"/>
      <c r="G103" s="301"/>
      <c r="H103" s="301"/>
      <c r="I103" s="301"/>
      <c r="J103" s="301"/>
      <c r="K103" s="301"/>
    </row>
    <row r="104" spans="2:11" ht="33" customHeight="1">
      <c r="B104" s="301" t="s">
        <v>964</v>
      </c>
      <c r="C104" s="301"/>
      <c r="D104" s="301"/>
      <c r="E104" s="301"/>
      <c r="F104" s="301"/>
      <c r="G104" s="301"/>
      <c r="H104" s="301"/>
      <c r="I104" s="301"/>
      <c r="J104" s="301"/>
      <c r="K104" s="301"/>
    </row>
    <row r="106" spans="2:11" ht="18" thickBot="1">
      <c r="B106" s="110" t="s">
        <v>872</v>
      </c>
    </row>
    <row r="107" spans="2:11" ht="15.75" thickTop="1"/>
    <row r="127" spans="2:12">
      <c r="B127" s="76" t="s">
        <v>111</v>
      </c>
    </row>
    <row r="128" spans="2:12" ht="30" customHeight="1">
      <c r="B128" s="302" t="s">
        <v>942</v>
      </c>
      <c r="C128" s="303"/>
      <c r="D128" s="303"/>
      <c r="E128" s="303"/>
      <c r="F128" s="303"/>
      <c r="G128" s="303"/>
      <c r="H128" s="303"/>
      <c r="I128" s="303"/>
      <c r="J128" s="303"/>
      <c r="K128" s="303"/>
      <c r="L128" s="303"/>
    </row>
    <row r="129" spans="2:15">
      <c r="B129" s="303" t="s">
        <v>112</v>
      </c>
      <c r="C129" s="303"/>
      <c r="D129" s="303"/>
      <c r="E129" s="303"/>
      <c r="F129" s="303"/>
      <c r="G129" s="303"/>
      <c r="H129" s="303"/>
      <c r="I129" s="303"/>
      <c r="J129" s="303"/>
      <c r="K129" s="303"/>
      <c r="L129" s="303"/>
    </row>
    <row r="130" spans="2:15" ht="47.25" customHeight="1">
      <c r="B130" s="302" t="s">
        <v>943</v>
      </c>
      <c r="C130" s="303"/>
      <c r="D130" s="303"/>
      <c r="E130" s="303"/>
      <c r="F130" s="303"/>
      <c r="G130" s="303"/>
      <c r="H130" s="303"/>
      <c r="I130" s="303"/>
      <c r="J130" s="303"/>
      <c r="K130" s="303"/>
      <c r="L130" s="303"/>
    </row>
    <row r="131" spans="2:15" ht="29.25" customHeight="1">
      <c r="B131" s="304" t="s">
        <v>879</v>
      </c>
      <c r="C131" s="305"/>
      <c r="D131" s="305"/>
      <c r="E131" s="305"/>
      <c r="F131" s="305"/>
      <c r="G131" s="305"/>
      <c r="H131" s="305"/>
      <c r="I131" s="305"/>
      <c r="J131" s="305"/>
      <c r="K131" s="305"/>
      <c r="L131" s="306"/>
    </row>
    <row r="132" spans="2:15" ht="31.5" customHeight="1">
      <c r="B132" s="304" t="s">
        <v>878</v>
      </c>
      <c r="C132" s="305"/>
      <c r="D132" s="305"/>
      <c r="E132" s="305"/>
      <c r="F132" s="305"/>
      <c r="G132" s="305"/>
      <c r="H132" s="305"/>
      <c r="I132" s="305"/>
      <c r="J132" s="305"/>
      <c r="K132" s="305"/>
      <c r="L132" s="306"/>
    </row>
    <row r="133" spans="2:15" ht="46.5" customHeight="1">
      <c r="B133" s="307" t="s">
        <v>944</v>
      </c>
      <c r="C133" s="307"/>
      <c r="D133" s="307"/>
      <c r="E133" s="307"/>
      <c r="F133" s="307"/>
      <c r="G133" s="307"/>
      <c r="H133" s="307"/>
      <c r="I133" s="307"/>
      <c r="J133" s="307"/>
      <c r="K133" s="307"/>
      <c r="L133" s="307"/>
      <c r="M133" s="185"/>
      <c r="N133" s="185"/>
      <c r="O133" s="113"/>
    </row>
    <row r="161" spans="1:15" ht="20.25" thickBot="1">
      <c r="A161" s="73" t="s">
        <v>113</v>
      </c>
    </row>
    <row r="162" spans="1:15" ht="33" customHeight="1" thickTop="1">
      <c r="B162" s="300" t="s">
        <v>114</v>
      </c>
      <c r="C162" s="300"/>
      <c r="D162" s="300"/>
      <c r="E162" s="300"/>
      <c r="F162" s="300"/>
      <c r="G162" s="300"/>
      <c r="H162" s="300"/>
      <c r="I162" s="300"/>
      <c r="J162" s="300"/>
      <c r="K162" s="300"/>
      <c r="L162" s="300"/>
      <c r="M162" s="300"/>
      <c r="N162" s="300"/>
      <c r="O162" s="300"/>
    </row>
    <row r="163" spans="1:15">
      <c r="B163" s="72"/>
    </row>
    <row r="164" spans="1:15">
      <c r="B164" s="75" t="s">
        <v>861</v>
      </c>
    </row>
    <row r="181" spans="2:7">
      <c r="B181" s="77" t="s">
        <v>115</v>
      </c>
      <c r="C181" s="78"/>
      <c r="D181" s="78"/>
      <c r="E181" s="78"/>
      <c r="F181" s="78"/>
      <c r="G181" s="54"/>
    </row>
    <row r="183" spans="2:7">
      <c r="B183" s="75" t="s">
        <v>116</v>
      </c>
    </row>
    <row r="193" spans="1:2">
      <c r="B193" s="75" t="s">
        <v>117</v>
      </c>
    </row>
    <row r="195" spans="1:2">
      <c r="B195" s="75" t="s">
        <v>118</v>
      </c>
    </row>
    <row r="196" spans="1:2">
      <c r="B196" s="75" t="s">
        <v>119</v>
      </c>
    </row>
    <row r="200" spans="1:2" ht="20.25" thickBot="1">
      <c r="A200" s="53" t="s">
        <v>120</v>
      </c>
    </row>
    <row r="201" spans="1:2" ht="15.75" thickTop="1"/>
    <row r="202" spans="1:2">
      <c r="A202" t="s">
        <v>121</v>
      </c>
    </row>
  </sheetData>
  <mergeCells count="14">
    <mergeCell ref="B162:O162"/>
    <mergeCell ref="B75:K75"/>
    <mergeCell ref="B73:K73"/>
    <mergeCell ref="B104:K104"/>
    <mergeCell ref="B101:K101"/>
    <mergeCell ref="B74:K74"/>
    <mergeCell ref="B102:K102"/>
    <mergeCell ref="B103:K103"/>
    <mergeCell ref="B128:L128"/>
    <mergeCell ref="B129:L129"/>
    <mergeCell ref="B130:L130"/>
    <mergeCell ref="B131:L131"/>
    <mergeCell ref="B132:L132"/>
    <mergeCell ref="B133:L13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1"/>
  </sheetPr>
  <dimension ref="A1:S77"/>
  <sheetViews>
    <sheetView topLeftCell="A20" zoomScale="70" zoomScaleNormal="70" workbookViewId="0">
      <selection activeCell="C46" sqref="C46"/>
    </sheetView>
  </sheetViews>
  <sheetFormatPr baseColWidth="10" defaultColWidth="11.42578125" defaultRowHeight="23.25"/>
  <cols>
    <col min="1" max="1" width="20.42578125" style="108" customWidth="1"/>
    <col min="2" max="2" width="18.5703125" style="108" customWidth="1"/>
    <col min="3" max="4" width="11.42578125" style="108"/>
    <col min="5" max="5" width="22.28515625" style="108" customWidth="1"/>
    <col min="6" max="6" width="20.42578125" style="108" customWidth="1"/>
    <col min="7" max="9" width="11.42578125" style="108"/>
    <col min="10" max="10" width="19.140625" style="108" customWidth="1"/>
    <col min="11" max="11" width="20.42578125" style="108" customWidth="1"/>
    <col min="12" max="16384" width="11.42578125" style="108"/>
  </cols>
  <sheetData>
    <row r="1" spans="1:19">
      <c r="A1" s="68" t="s">
        <v>122</v>
      </c>
      <c r="E1" s="68" t="s">
        <v>123</v>
      </c>
      <c r="J1" s="165" t="s">
        <v>124</v>
      </c>
    </row>
    <row r="3" spans="1:19">
      <c r="A3" s="108" t="s">
        <v>125</v>
      </c>
      <c r="B3" s="108" t="s">
        <v>126</v>
      </c>
      <c r="E3" s="108" t="s">
        <v>127</v>
      </c>
      <c r="F3" s="108" t="s">
        <v>128</v>
      </c>
      <c r="H3" s="108" t="s">
        <v>129</v>
      </c>
      <c r="I3" s="108" t="s">
        <v>130</v>
      </c>
      <c r="J3" s="164" t="s">
        <v>131</v>
      </c>
      <c r="K3" s="108" t="s">
        <v>132</v>
      </c>
      <c r="L3" s="108" t="s">
        <v>133</v>
      </c>
      <c r="M3" s="108" t="s">
        <v>134</v>
      </c>
      <c r="N3" s="108" t="s">
        <v>135</v>
      </c>
      <c r="O3" s="108" t="s">
        <v>136</v>
      </c>
      <c r="P3" s="108" t="s">
        <v>137</v>
      </c>
    </row>
    <row r="4" spans="1:19">
      <c r="A4" s="109" t="s">
        <v>138</v>
      </c>
      <c r="B4" s="108" t="s">
        <v>139</v>
      </c>
      <c r="E4" s="109" t="s">
        <v>46</v>
      </c>
      <c r="F4" s="108" t="s">
        <v>46</v>
      </c>
      <c r="I4" s="108" t="str">
        <f>LEFT(t_Fruchtarten_Nährstoffe[[#This Row],[FRUARTTEXT]],1)</f>
        <v>1</v>
      </c>
      <c r="J4" s="164">
        <v>0</v>
      </c>
      <c r="K4" s="108">
        <v>1</v>
      </c>
      <c r="L4" s="108">
        <v>1.2</v>
      </c>
      <c r="M4" s="108">
        <v>1.4</v>
      </c>
      <c r="N4" s="108">
        <v>40</v>
      </c>
      <c r="O4" s="108">
        <v>1.5</v>
      </c>
      <c r="P4" s="108">
        <v>4</v>
      </c>
      <c r="S4" s="108" t="s">
        <v>140</v>
      </c>
    </row>
    <row r="5" spans="1:19">
      <c r="A5" s="109" t="s">
        <v>141</v>
      </c>
      <c r="B5" s="108" t="s">
        <v>142</v>
      </c>
      <c r="E5" s="109" t="s">
        <v>143</v>
      </c>
      <c r="F5" s="108" t="s">
        <v>143</v>
      </c>
      <c r="H5" s="108">
        <v>1</v>
      </c>
      <c r="I5" s="108" t="str">
        <f>LEFT(t_Fruchtarten_Nährstoffe[[#This Row],[FRUARTTEXT]],1)</f>
        <v>A</v>
      </c>
      <c r="J5" s="164" t="s">
        <v>144</v>
      </c>
      <c r="K5" s="108" t="s">
        <v>145</v>
      </c>
      <c r="L5" s="108">
        <v>0.16</v>
      </c>
      <c r="M5" s="108">
        <v>0.65</v>
      </c>
      <c r="N5" s="108">
        <v>500</v>
      </c>
      <c r="O5" s="108">
        <v>0.14000000000000001</v>
      </c>
      <c r="P5" s="108">
        <v>0.65</v>
      </c>
      <c r="R5" s="108" t="str">
        <f>t_Fruchtarten_Nährstoffe[[#This Row],[FRUARTTEXT]]</f>
        <v>Ackergras</v>
      </c>
    </row>
    <row r="6" spans="1:19">
      <c r="A6" s="109" t="s">
        <v>146</v>
      </c>
      <c r="B6" s="108" t="s">
        <v>147</v>
      </c>
      <c r="I6" s="108" t="str">
        <f>LEFT(t_Fruchtarten_Nährstoffe[[#This Row],[FRUARTTEXT]],1)</f>
        <v>A</v>
      </c>
      <c r="J6" s="164" t="s">
        <v>148</v>
      </c>
      <c r="K6" s="108" t="s">
        <v>149</v>
      </c>
      <c r="L6" s="108">
        <v>0.7</v>
      </c>
      <c r="M6" s="108">
        <v>3.25</v>
      </c>
      <c r="N6" s="108">
        <v>105</v>
      </c>
      <c r="O6" s="108">
        <v>0.7</v>
      </c>
      <c r="P6" s="108">
        <v>3.25</v>
      </c>
      <c r="R6" s="108" t="str">
        <f>t_Fruchtarten_Nährstoffe[[#This Row],[FRUARTTEXT]]</f>
        <v>Ackergras (TM)</v>
      </c>
    </row>
    <row r="7" spans="1:19">
      <c r="A7" s="109" t="s">
        <v>150</v>
      </c>
      <c r="B7" s="108" t="s">
        <v>151</v>
      </c>
      <c r="I7" s="108" t="str">
        <f>LEFT(t_Fruchtarten_Nährstoffe[[#This Row],[FRUARTTEXT]],1)</f>
        <v>B</v>
      </c>
      <c r="J7" s="164" t="s">
        <v>152</v>
      </c>
      <c r="K7" s="108" t="s">
        <v>153</v>
      </c>
      <c r="L7" s="108">
        <v>0.1</v>
      </c>
      <c r="M7" s="108">
        <v>0.36</v>
      </c>
      <c r="N7" s="108">
        <v>350</v>
      </c>
      <c r="O7" s="108">
        <v>0.37</v>
      </c>
      <c r="P7" s="108">
        <v>1.21</v>
      </c>
      <c r="R7" s="108" t="str">
        <f>t_Fruchtarten_Nährstoffe[[#This Row],[FRUARTTEXT]]</f>
        <v>Blumenkohl</v>
      </c>
    </row>
    <row r="8" spans="1:19">
      <c r="A8" s="109" t="s">
        <v>154</v>
      </c>
      <c r="B8" s="108" t="s">
        <v>155</v>
      </c>
      <c r="I8" s="108" t="str">
        <f>LEFT(t_Fruchtarten_Nährstoffe[[#This Row],[FRUARTTEXT]],1)</f>
        <v>D</v>
      </c>
      <c r="J8" s="164" t="s">
        <v>156</v>
      </c>
      <c r="K8" s="108" t="s">
        <v>157</v>
      </c>
      <c r="L8" s="108">
        <v>0.8</v>
      </c>
      <c r="M8" s="108">
        <v>0.8</v>
      </c>
      <c r="N8" s="108">
        <v>55</v>
      </c>
      <c r="O8" s="108">
        <v>1.1000000000000001</v>
      </c>
      <c r="P8" s="108">
        <v>2.5</v>
      </c>
      <c r="R8" s="108" t="str">
        <f>t_Fruchtarten_Nährstoffe[[#This Row],[FRUARTTEXT]]</f>
        <v>Dinkel</v>
      </c>
    </row>
    <row r="9" spans="1:19">
      <c r="A9" s="109" t="s">
        <v>158</v>
      </c>
      <c r="B9" s="108" t="s">
        <v>159</v>
      </c>
      <c r="I9" s="108" t="str">
        <f>LEFT(t_Fruchtarten_Nährstoffe[[#This Row],[FRUARTTEXT]],1)</f>
        <v>D</v>
      </c>
      <c r="J9" s="164" t="s">
        <v>160</v>
      </c>
      <c r="K9" s="108" t="s">
        <v>161</v>
      </c>
      <c r="L9" s="108">
        <v>0.8</v>
      </c>
      <c r="M9" s="108">
        <v>0.6</v>
      </c>
      <c r="N9" s="108">
        <v>50</v>
      </c>
      <c r="O9" s="108">
        <v>1.1000000000000001</v>
      </c>
      <c r="P9" s="108">
        <v>2</v>
      </c>
      <c r="R9" s="108" t="str">
        <f>t_Fruchtarten_Nährstoffe[[#This Row],[FRUARTTEXT]]</f>
        <v>Durum</v>
      </c>
    </row>
    <row r="10" spans="1:19">
      <c r="I10" s="108" t="str">
        <f>LEFT(t_Fruchtarten_Nährstoffe[[#This Row],[FRUARTTEXT]],1)</f>
        <v>E</v>
      </c>
      <c r="J10" s="164" t="s">
        <v>162</v>
      </c>
      <c r="K10" s="108" t="s">
        <v>163</v>
      </c>
      <c r="L10" s="108">
        <v>1.1000000000000001</v>
      </c>
      <c r="M10" s="108">
        <v>1.4</v>
      </c>
      <c r="N10" s="108">
        <v>35</v>
      </c>
      <c r="O10" s="108">
        <v>1.4</v>
      </c>
      <c r="P10" s="108">
        <v>4</v>
      </c>
      <c r="R10" s="108" t="str">
        <f>t_Fruchtarten_Nährstoffe[[#This Row],[FRUARTTEXT]]</f>
        <v>Erbsen (Körner)</v>
      </c>
    </row>
    <row r="11" spans="1:19">
      <c r="I11" s="108" t="str">
        <f>LEFT(t_Fruchtarten_Nährstoffe[[#This Row],[FRUARTTEXT]],1)</f>
        <v>E</v>
      </c>
      <c r="J11" s="164" t="s">
        <v>164</v>
      </c>
      <c r="K11" s="108" t="s">
        <v>165</v>
      </c>
      <c r="L11" s="108">
        <v>0.05</v>
      </c>
      <c r="M11" s="108">
        <v>0.28000000000000003</v>
      </c>
      <c r="N11" s="108">
        <v>200</v>
      </c>
      <c r="O11" s="108">
        <v>0.05</v>
      </c>
      <c r="P11" s="108">
        <v>0.28000000000000003</v>
      </c>
      <c r="R11" s="108" t="str">
        <f>t_Fruchtarten_Nährstoffe[[#This Row],[FRUARTTEXT]]</f>
        <v>Erdbeeren</v>
      </c>
    </row>
    <row r="12" spans="1:19">
      <c r="E12" s="108" t="s">
        <v>166</v>
      </c>
      <c r="F12" s="108" t="s">
        <v>167</v>
      </c>
      <c r="I12" s="108" t="str">
        <f>LEFT(t_Fruchtarten_Nährstoffe[[#This Row],[FRUARTTEXT]],1)</f>
        <v>F</v>
      </c>
      <c r="J12" s="164" t="s">
        <v>168</v>
      </c>
      <c r="K12" s="108" t="s">
        <v>169</v>
      </c>
      <c r="L12" s="108">
        <v>0.1</v>
      </c>
      <c r="M12" s="108">
        <v>0.65</v>
      </c>
      <c r="N12" s="108">
        <v>80</v>
      </c>
      <c r="O12" s="108">
        <v>0.15</v>
      </c>
      <c r="P12" s="108">
        <v>0.78</v>
      </c>
      <c r="R12" s="108" t="str">
        <f>t_Fruchtarten_Nährstoffe[[#This Row],[FRUARTTEXT]]</f>
        <v>Feldsalat</v>
      </c>
    </row>
    <row r="13" spans="1:19">
      <c r="F13" s="108" t="s">
        <v>46</v>
      </c>
      <c r="I13" s="108" t="str">
        <f>LEFT(t_Fruchtarten_Nährstoffe[[#This Row],[FRUARTTEXT]],1)</f>
        <v>F</v>
      </c>
      <c r="J13" s="164" t="s">
        <v>170</v>
      </c>
      <c r="K13" s="108" t="s">
        <v>171</v>
      </c>
      <c r="L13" s="108">
        <v>0.09</v>
      </c>
      <c r="M13" s="108">
        <v>0.5</v>
      </c>
      <c r="N13" s="108">
        <v>700</v>
      </c>
      <c r="O13" s="108">
        <v>0.12</v>
      </c>
      <c r="P13" s="108">
        <v>0.75</v>
      </c>
      <c r="R13" s="108" t="str">
        <f>t_Fruchtarten_Nährstoffe[[#This Row],[FRUARTTEXT]]</f>
        <v>Futterrübe - Gehalt</v>
      </c>
    </row>
    <row r="14" spans="1:19">
      <c r="I14" s="108" t="str">
        <f>LEFT(t_Fruchtarten_Nährstoffe[[#This Row],[FRUARTTEXT]],1)</f>
        <v>F</v>
      </c>
      <c r="J14" s="164" t="s">
        <v>172</v>
      </c>
      <c r="K14" s="108" t="s">
        <v>173</v>
      </c>
      <c r="L14" s="108">
        <v>7.0000000000000007E-2</v>
      </c>
      <c r="M14" s="108">
        <v>0.45</v>
      </c>
      <c r="N14" s="108">
        <v>900</v>
      </c>
      <c r="O14" s="108">
        <v>0.09</v>
      </c>
      <c r="P14" s="108">
        <v>0.6</v>
      </c>
      <c r="R14" s="108" t="str">
        <f>t_Fruchtarten_Nährstoffe[[#This Row],[FRUARTTEXT]]</f>
        <v>Futterrübe - Masse</v>
      </c>
    </row>
    <row r="15" spans="1:19">
      <c r="I15" s="108" t="str">
        <f>LEFT(t_Fruchtarten_Nährstoffe[[#This Row],[FRUARTTEXT]],1)</f>
        <v>F</v>
      </c>
      <c r="J15" s="164" t="s">
        <v>174</v>
      </c>
      <c r="K15" s="108" t="s">
        <v>175</v>
      </c>
      <c r="L15" s="108">
        <v>0.6</v>
      </c>
      <c r="M15" s="108">
        <v>3.33</v>
      </c>
      <c r="N15" s="108">
        <v>120</v>
      </c>
      <c r="O15" s="108">
        <v>0.8</v>
      </c>
      <c r="P15" s="108">
        <v>5</v>
      </c>
      <c r="R15" s="108" t="str">
        <f>t_Fruchtarten_Nährstoffe[[#This Row],[FRUARTTEXT]]</f>
        <v>Futterrübe (TM)</v>
      </c>
    </row>
    <row r="16" spans="1:19">
      <c r="A16" s="108" t="s">
        <v>92</v>
      </c>
      <c r="E16" s="108" t="s">
        <v>176</v>
      </c>
      <c r="F16" s="108" t="s">
        <v>177</v>
      </c>
      <c r="H16" s="108">
        <v>1</v>
      </c>
      <c r="I16" s="108" t="str">
        <f>LEFT(t_Fruchtarten_Nährstoffe[[#This Row],[FRUARTTEXT]],1)</f>
        <v>G</v>
      </c>
      <c r="J16" s="164" t="s">
        <v>178</v>
      </c>
      <c r="K16" s="108" t="s">
        <v>179</v>
      </c>
      <c r="L16" s="108">
        <v>0.5</v>
      </c>
      <c r="M16" s="108">
        <v>1.93</v>
      </c>
      <c r="N16" s="108">
        <v>40</v>
      </c>
      <c r="O16" s="108">
        <v>0.5</v>
      </c>
      <c r="P16" s="108">
        <v>1.93</v>
      </c>
      <c r="R16" s="108" t="str">
        <f>t_Fruchtarten_Nährstoffe[[#This Row],[FRUARTTEXT]]</f>
        <v>Grünland 1 Nutzung</v>
      </c>
    </row>
    <row r="17" spans="1:18">
      <c r="F17" s="108" t="s">
        <v>180</v>
      </c>
      <c r="H17" s="108">
        <v>1</v>
      </c>
      <c r="I17" s="108" t="str">
        <f>LEFT(t_Fruchtarten_Nährstoffe[[#This Row],[FRUARTTEXT]],1)</f>
        <v>G</v>
      </c>
      <c r="J17" s="164" t="s">
        <v>181</v>
      </c>
      <c r="K17" s="108" t="s">
        <v>182</v>
      </c>
      <c r="L17" s="108">
        <v>0.65</v>
      </c>
      <c r="M17" s="108">
        <v>2.41</v>
      </c>
      <c r="N17" s="108">
        <v>55</v>
      </c>
      <c r="O17" s="108">
        <v>0.65</v>
      </c>
      <c r="P17" s="108">
        <v>2.41</v>
      </c>
      <c r="R17" s="108" t="str">
        <f>t_Fruchtarten_Nährstoffe[[#This Row],[FRUARTTEXT]]</f>
        <v>Grünland 2 Nutzungen</v>
      </c>
    </row>
    <row r="18" spans="1:18">
      <c r="A18" s="108" t="s">
        <v>183</v>
      </c>
      <c r="B18" s="108" t="s">
        <v>184</v>
      </c>
      <c r="C18" s="108" t="s">
        <v>185</v>
      </c>
      <c r="H18" s="108">
        <v>1</v>
      </c>
      <c r="I18" s="108" t="str">
        <f>LEFT(t_Fruchtarten_Nährstoffe[[#This Row],[FRUARTTEXT]],1)</f>
        <v>G</v>
      </c>
      <c r="J18" s="164" t="s">
        <v>186</v>
      </c>
      <c r="K18" s="108" t="s">
        <v>187</v>
      </c>
      <c r="L18" s="108">
        <v>0.71</v>
      </c>
      <c r="M18" s="108">
        <v>2.89</v>
      </c>
      <c r="N18" s="108">
        <v>75</v>
      </c>
      <c r="O18" s="108">
        <v>0.71</v>
      </c>
      <c r="P18" s="108">
        <v>2.89</v>
      </c>
      <c r="R18" s="108" t="str">
        <f>t_Fruchtarten_Nährstoffe[[#This Row],[FRUARTTEXT]]</f>
        <v>Grünland 3 Nutzungen</v>
      </c>
    </row>
    <row r="19" spans="1:18">
      <c r="A19" s="108" t="s">
        <v>188</v>
      </c>
      <c r="B19" s="108" t="s">
        <v>189</v>
      </c>
      <c r="C19" s="108">
        <v>7</v>
      </c>
      <c r="H19" s="108">
        <v>1</v>
      </c>
      <c r="I19" s="108" t="str">
        <f>LEFT(t_Fruchtarten_Nährstoffe[[#This Row],[FRUARTTEXT]],1)</f>
        <v>G</v>
      </c>
      <c r="J19" s="164" t="s">
        <v>190</v>
      </c>
      <c r="K19" s="108" t="s">
        <v>191</v>
      </c>
      <c r="L19" s="108">
        <v>0.81</v>
      </c>
      <c r="M19" s="108">
        <v>3.13</v>
      </c>
      <c r="N19" s="108">
        <v>90</v>
      </c>
      <c r="O19" s="108">
        <v>0.81</v>
      </c>
      <c r="P19" s="108">
        <v>3.13</v>
      </c>
      <c r="R19" s="108" t="str">
        <f>t_Fruchtarten_Nährstoffe[[#This Row],[FRUARTTEXT]]</f>
        <v>Grünland 4 Nutzungen</v>
      </c>
    </row>
    <row r="20" spans="1:18">
      <c r="A20" s="108" t="s">
        <v>192</v>
      </c>
      <c r="B20" s="108" t="s">
        <v>193</v>
      </c>
      <c r="C20" s="108">
        <v>26</v>
      </c>
      <c r="E20" s="108" t="s">
        <v>194</v>
      </c>
      <c r="F20" s="108" t="s">
        <v>177</v>
      </c>
      <c r="H20" s="108">
        <v>1</v>
      </c>
      <c r="I20" s="108" t="str">
        <f>LEFT(t_Fruchtarten_Nährstoffe[[#This Row],[FRUARTTEXT]],1)</f>
        <v>G</v>
      </c>
      <c r="J20" s="164" t="s">
        <v>195</v>
      </c>
      <c r="K20" s="108" t="s">
        <v>196</v>
      </c>
      <c r="L20" s="108">
        <v>0.87</v>
      </c>
      <c r="M20" s="108">
        <v>3.25</v>
      </c>
      <c r="N20" s="108">
        <v>110</v>
      </c>
      <c r="O20" s="108">
        <v>0.87</v>
      </c>
      <c r="P20" s="108">
        <v>3.25</v>
      </c>
      <c r="R20" s="108" t="str">
        <f>t_Fruchtarten_Nährstoffe[[#This Row],[FRUARTTEXT]]</f>
        <v>Grünland 5 Nutzungen</v>
      </c>
    </row>
    <row r="21" spans="1:18">
      <c r="B21" s="108" t="s">
        <v>197</v>
      </c>
      <c r="F21" s="108" t="s">
        <v>46</v>
      </c>
      <c r="H21" s="108">
        <v>1</v>
      </c>
      <c r="I21" s="108" t="str">
        <f>LEFT(t_Fruchtarten_Nährstoffe[[#This Row],[FRUARTTEXT]],1)</f>
        <v>H</v>
      </c>
      <c r="J21" s="164" t="s">
        <v>198</v>
      </c>
      <c r="K21" s="108" t="s">
        <v>199</v>
      </c>
      <c r="L21" s="108">
        <v>0.8</v>
      </c>
      <c r="M21" s="108">
        <v>0.6</v>
      </c>
      <c r="N21" s="108">
        <v>50</v>
      </c>
      <c r="O21" s="108">
        <v>1.1299999999999999</v>
      </c>
      <c r="P21" s="108">
        <v>2.6</v>
      </c>
      <c r="R21" s="108" t="str">
        <f>t_Fruchtarten_Nährstoffe[[#This Row],[FRUARTTEXT]]</f>
        <v>Hafer</v>
      </c>
    </row>
    <row r="22" spans="1:18">
      <c r="I22" s="108" t="str">
        <f>LEFT(t_Fruchtarten_Nährstoffe[[#This Row],[FRUARTTEXT]],1)</f>
        <v>H</v>
      </c>
      <c r="J22" s="164" t="s">
        <v>200</v>
      </c>
      <c r="K22" s="108" t="s">
        <v>201</v>
      </c>
      <c r="L22" s="108">
        <v>0.3</v>
      </c>
      <c r="M22" s="108">
        <v>2</v>
      </c>
      <c r="N22" s="108">
        <v>130</v>
      </c>
      <c r="O22" s="108">
        <v>0.75</v>
      </c>
      <c r="P22" s="108">
        <v>2</v>
      </c>
      <c r="R22" s="108" t="str">
        <f>t_Fruchtarten_Nährstoffe[[#This Row],[FRUARTTEXT]]</f>
        <v>Hanf</v>
      </c>
    </row>
    <row r="23" spans="1:18">
      <c r="A23" s="108" t="s">
        <v>202</v>
      </c>
      <c r="I23" s="108" t="str">
        <f>LEFT(t_Fruchtarten_Nährstoffe[[#This Row],[FRUARTTEXT]],1)</f>
        <v>H</v>
      </c>
      <c r="J23" s="164" t="s">
        <v>203</v>
      </c>
      <c r="K23" s="108" t="s">
        <v>204</v>
      </c>
      <c r="L23" s="108">
        <v>0.04</v>
      </c>
      <c r="M23" s="108">
        <v>0.2</v>
      </c>
      <c r="N23" s="108">
        <v>100</v>
      </c>
      <c r="O23" s="108">
        <v>0.04</v>
      </c>
      <c r="P23" s="108">
        <v>0.2</v>
      </c>
      <c r="R23" s="108" t="str">
        <f>t_Fruchtarten_Nährstoffe[[#This Row],[FRUARTTEXT]]</f>
        <v>Himbeere</v>
      </c>
    </row>
    <row r="24" spans="1:18">
      <c r="I24" s="108" t="str">
        <f>LEFT(t_Fruchtarten_Nährstoffe[[#This Row],[FRUARTTEXT]],1)</f>
        <v>J</v>
      </c>
      <c r="J24" s="164" t="s">
        <v>205</v>
      </c>
      <c r="K24" s="108" t="s">
        <v>206</v>
      </c>
      <c r="L24" s="108">
        <v>0.05</v>
      </c>
      <c r="M24" s="108">
        <v>0.35</v>
      </c>
      <c r="N24" s="108">
        <v>100</v>
      </c>
      <c r="O24" s="108">
        <v>0.05</v>
      </c>
      <c r="P24" s="108">
        <v>0.35</v>
      </c>
      <c r="R24" s="108" t="str">
        <f>t_Fruchtarten_Nährstoffe[[#This Row],[FRUARTTEXT]]</f>
        <v>Johannisbeere</v>
      </c>
    </row>
    <row r="25" spans="1:18">
      <c r="A25" s="108" t="s">
        <v>207</v>
      </c>
      <c r="B25" s="108" t="s">
        <v>208</v>
      </c>
      <c r="I25" s="108" t="str">
        <f>LEFT(t_Fruchtarten_Nährstoffe[[#This Row],[FRUARTTEXT]],1)</f>
        <v>J</v>
      </c>
      <c r="J25" s="164" t="s">
        <v>209</v>
      </c>
      <c r="K25" s="108" t="s">
        <v>210</v>
      </c>
      <c r="L25" s="108">
        <v>0.21</v>
      </c>
      <c r="M25" s="108">
        <v>0.53</v>
      </c>
      <c r="N25" s="108">
        <v>200</v>
      </c>
      <c r="O25" s="108">
        <v>0.21</v>
      </c>
      <c r="P25" s="108">
        <v>0.53</v>
      </c>
      <c r="R25" s="108" t="str">
        <f>t_Fruchtarten_Nährstoffe[[#This Row],[FRUARTTEXT]]</f>
        <v>Johanniskraut</v>
      </c>
    </row>
    <row r="26" spans="1:18">
      <c r="A26" s="108" t="s">
        <v>211</v>
      </c>
      <c r="B26" s="108" t="s">
        <v>212</v>
      </c>
      <c r="H26" s="108">
        <v>1</v>
      </c>
      <c r="I26" s="108" t="str">
        <f>LEFT(t_Fruchtarten_Nährstoffe[[#This Row],[FRUARTTEXT]],1)</f>
        <v>K</v>
      </c>
      <c r="J26" s="164" t="s">
        <v>213</v>
      </c>
      <c r="K26" s="108" t="s">
        <v>214</v>
      </c>
      <c r="L26" s="108">
        <v>0.14000000000000001</v>
      </c>
      <c r="M26" s="108">
        <v>0.6</v>
      </c>
      <c r="N26" s="108">
        <v>400</v>
      </c>
      <c r="O26" s="108">
        <v>0.15</v>
      </c>
      <c r="P26" s="108">
        <v>0.8</v>
      </c>
      <c r="R26" s="108" t="str">
        <f>t_Fruchtarten_Nährstoffe[[#This Row],[FRUARTTEXT]]</f>
        <v>Kartoffeln</v>
      </c>
    </row>
    <row r="27" spans="1:18">
      <c r="A27" s="108" t="s">
        <v>215</v>
      </c>
      <c r="B27" s="108" t="s">
        <v>216</v>
      </c>
      <c r="I27" s="108" t="str">
        <f>LEFT(t_Fruchtarten_Nährstoffe[[#This Row],[FRUARTTEXT]],1)</f>
        <v>K</v>
      </c>
      <c r="J27" s="164" t="s">
        <v>217</v>
      </c>
      <c r="K27" s="108" t="s">
        <v>214</v>
      </c>
      <c r="L27" s="108">
        <v>0.14000000000000001</v>
      </c>
      <c r="M27" s="108">
        <v>0.45</v>
      </c>
      <c r="N27" s="108">
        <v>400</v>
      </c>
      <c r="O27" s="108">
        <v>0.15</v>
      </c>
      <c r="P27" s="108">
        <v>0.65</v>
      </c>
      <c r="R27" s="108" t="str">
        <f>t_Fruchtarten_Nährstoffe[[#This Row],[FRUARTTEXT]]</f>
        <v>Kartoffeln</v>
      </c>
    </row>
    <row r="28" spans="1:18">
      <c r="I28" s="108" t="str">
        <f>LEFT(t_Fruchtarten_Nährstoffe[[#This Row],[FRUARTTEXT]],1)</f>
        <v>K</v>
      </c>
      <c r="J28" s="164" t="s">
        <v>218</v>
      </c>
      <c r="K28" s="108" t="s">
        <v>219</v>
      </c>
      <c r="L28" s="108">
        <v>0.03</v>
      </c>
      <c r="M28" s="108">
        <v>0.19</v>
      </c>
      <c r="N28" s="108">
        <v>400</v>
      </c>
      <c r="O28" s="108">
        <v>0.03</v>
      </c>
      <c r="P28" s="108">
        <v>0.19</v>
      </c>
      <c r="R28" s="108" t="str">
        <f>t_Fruchtarten_Nährstoffe[[#This Row],[FRUARTTEXT]]</f>
        <v>Kernobst</v>
      </c>
    </row>
    <row r="29" spans="1:18">
      <c r="I29" s="108" t="str">
        <f>LEFT(t_Fruchtarten_Nährstoffe[[#This Row],[FRUARTTEXT]],1)</f>
        <v>K</v>
      </c>
      <c r="J29" s="164" t="s">
        <v>220</v>
      </c>
      <c r="K29" s="108" t="s">
        <v>221</v>
      </c>
      <c r="L29" s="108">
        <v>1.46</v>
      </c>
      <c r="M29" s="108">
        <v>1.25</v>
      </c>
      <c r="N29" s="108">
        <v>4</v>
      </c>
      <c r="O29" s="108">
        <v>3.86</v>
      </c>
      <c r="R29" s="108" t="str">
        <f>t_Fruchtarten_Nährstoffe[[#This Row],[FRUARTTEXT]]</f>
        <v>Klee-,Luzerneverm.</v>
      </c>
    </row>
    <row r="30" spans="1:18">
      <c r="I30" s="108" t="str">
        <f>LEFT(t_Fruchtarten_Nährstoffe[[#This Row],[FRUARTTEXT]],1)</f>
        <v>K</v>
      </c>
      <c r="J30" s="164" t="s">
        <v>222</v>
      </c>
      <c r="K30" s="108" t="s">
        <v>223</v>
      </c>
      <c r="L30" s="108">
        <v>0.7</v>
      </c>
      <c r="M30" s="108">
        <v>3.25</v>
      </c>
      <c r="N30" s="108">
        <v>105</v>
      </c>
      <c r="O30" s="108">
        <v>0.7</v>
      </c>
      <c r="P30" s="108">
        <v>3.25</v>
      </c>
      <c r="R30" s="108" t="str">
        <f>t_Fruchtarten_Nährstoffe[[#This Row],[FRUARTTEXT]]</f>
        <v>Kleegras (TM)</v>
      </c>
    </row>
    <row r="31" spans="1:18" ht="24" thickBot="1">
      <c r="A31" s="167" t="s">
        <v>23</v>
      </c>
      <c r="I31" s="108" t="str">
        <f>LEFT(t_Fruchtarten_Nährstoffe[[#This Row],[FRUARTTEXT]],1)</f>
        <v>K</v>
      </c>
      <c r="J31" s="164" t="s">
        <v>224</v>
      </c>
      <c r="K31" s="108" t="s">
        <v>225</v>
      </c>
      <c r="L31" s="108">
        <v>1.46</v>
      </c>
      <c r="M31" s="108">
        <v>1.25</v>
      </c>
      <c r="N31" s="108">
        <v>6</v>
      </c>
      <c r="O31" s="108">
        <v>3.86</v>
      </c>
      <c r="R31" s="108" t="str">
        <f>t_Fruchtarten_Nährstoffe[[#This Row],[FRUARTTEXT]]</f>
        <v>Klee-Luzerneverm.</v>
      </c>
    </row>
    <row r="32" spans="1:18">
      <c r="I32" s="108" t="str">
        <f>LEFT(t_Fruchtarten_Nährstoffe[[#This Row],[FRUARTTEXT]],1)</f>
        <v>K</v>
      </c>
      <c r="J32" s="164" t="s">
        <v>226</v>
      </c>
      <c r="K32" s="108" t="s">
        <v>227</v>
      </c>
      <c r="L32" s="108">
        <v>0.1</v>
      </c>
      <c r="M32" s="108">
        <v>0.42</v>
      </c>
      <c r="N32" s="108">
        <v>450</v>
      </c>
      <c r="O32" s="108">
        <v>0.15</v>
      </c>
      <c r="P32" s="108">
        <v>0.63</v>
      </c>
      <c r="R32" s="108" t="str">
        <f>t_Fruchtarten_Nährstoffe[[#This Row],[FRUARTTEXT]]</f>
        <v>Kohlrabi</v>
      </c>
    </row>
    <row r="33" spans="1:18">
      <c r="A33" s="108" t="s">
        <v>23</v>
      </c>
      <c r="B33" s="108" t="s">
        <v>177</v>
      </c>
      <c r="H33" s="108">
        <v>1</v>
      </c>
      <c r="I33" s="108" t="str">
        <f>LEFT(t_Fruchtarten_Nährstoffe[[#This Row],[FRUARTTEXT]],1)</f>
        <v>K</v>
      </c>
      <c r="J33" s="164" t="s">
        <v>228</v>
      </c>
      <c r="K33" s="108" t="s">
        <v>229</v>
      </c>
      <c r="L33" s="108">
        <v>0.8</v>
      </c>
      <c r="M33" s="108">
        <v>0.5</v>
      </c>
      <c r="N33" s="108">
        <v>80</v>
      </c>
      <c r="O33" s="108">
        <v>1</v>
      </c>
      <c r="P33" s="108">
        <v>2.5</v>
      </c>
      <c r="R33" s="108" t="str">
        <f>t_Fruchtarten_Nährstoffe[[#This Row],[FRUARTTEXT]]</f>
        <v>Körnermais</v>
      </c>
    </row>
    <row r="34" spans="1:18">
      <c r="B34" s="108" t="s">
        <v>46</v>
      </c>
      <c r="I34" s="108" t="str">
        <f>LEFT(t_Fruchtarten_Nährstoffe[[#This Row],[FRUARTTEXT]],1)</f>
        <v>K</v>
      </c>
      <c r="J34" s="164" t="s">
        <v>230</v>
      </c>
      <c r="K34" s="108" t="s">
        <v>231</v>
      </c>
      <c r="L34" s="108">
        <v>1.77</v>
      </c>
      <c r="M34" s="108">
        <v>0.93</v>
      </c>
      <c r="N34" s="108">
        <v>15</v>
      </c>
      <c r="O34" s="108">
        <v>2.37</v>
      </c>
      <c r="R34" s="108" t="str">
        <f>t_Fruchtarten_Nährstoffe[[#This Row],[FRUARTTEXT]]</f>
        <v>Körnersenf</v>
      </c>
    </row>
    <row r="35" spans="1:18">
      <c r="B35" s="108" t="s">
        <v>143</v>
      </c>
      <c r="I35" s="108" t="str">
        <f>LEFT(t_Fruchtarten_Nährstoffe[[#This Row],[FRUARTTEXT]],1)</f>
        <v>L</v>
      </c>
      <c r="J35" s="164" t="s">
        <v>232</v>
      </c>
      <c r="K35" s="108" t="s">
        <v>233</v>
      </c>
      <c r="L35" s="108">
        <v>1.02</v>
      </c>
      <c r="M35" s="108">
        <v>1.34</v>
      </c>
      <c r="N35" s="108">
        <v>20</v>
      </c>
      <c r="O35" s="108">
        <v>1.32</v>
      </c>
      <c r="P35" s="108">
        <v>2.0699999999999998</v>
      </c>
      <c r="R35" s="108" t="str">
        <f>t_Fruchtarten_Nährstoffe[[#This Row],[FRUARTTEXT]]</f>
        <v>Lupine</v>
      </c>
    </row>
    <row r="36" spans="1:18">
      <c r="I36" s="108" t="str">
        <f>LEFT(t_Fruchtarten_Nährstoffe[[#This Row],[FRUARTTEXT]],1)</f>
        <v>L</v>
      </c>
      <c r="J36" s="164" t="s">
        <v>234</v>
      </c>
      <c r="K36" s="108" t="s">
        <v>235</v>
      </c>
      <c r="L36" s="108">
        <v>0.14000000000000001</v>
      </c>
      <c r="M36" s="108">
        <v>0.65</v>
      </c>
      <c r="N36" s="108">
        <v>500</v>
      </c>
      <c r="O36" s="108">
        <v>0.14000000000000001</v>
      </c>
      <c r="P36" s="108">
        <v>0.65</v>
      </c>
      <c r="R36" s="108" t="str">
        <f>t_Fruchtarten_Nährstoffe[[#This Row],[FRUARTTEXT]]</f>
        <v>Luzerne</v>
      </c>
    </row>
    <row r="37" spans="1:18" ht="24" thickBot="1">
      <c r="A37" s="167" t="s">
        <v>236</v>
      </c>
      <c r="I37" s="108" t="str">
        <f>LEFT(t_Fruchtarten_Nährstoffe[[#This Row],[FRUARTTEXT]],1)</f>
        <v>L</v>
      </c>
      <c r="J37" s="164" t="s">
        <v>237</v>
      </c>
      <c r="K37" s="108" t="s">
        <v>238</v>
      </c>
      <c r="L37" s="108">
        <v>0.7</v>
      </c>
      <c r="M37" s="108">
        <v>3.25</v>
      </c>
      <c r="N37" s="108">
        <v>105</v>
      </c>
      <c r="O37" s="108">
        <v>0.7</v>
      </c>
      <c r="P37" s="108">
        <v>3.25</v>
      </c>
      <c r="R37" s="108" t="str">
        <f>t_Fruchtarten_Nährstoffe[[#This Row],[FRUARTTEXT]]</f>
        <v>Luzerne (TM)</v>
      </c>
    </row>
    <row r="38" spans="1:18">
      <c r="I38" s="108" t="str">
        <f>LEFT(t_Fruchtarten_Nährstoffe[[#This Row],[FRUARTTEXT]],1)</f>
        <v>L</v>
      </c>
      <c r="J38" s="164" t="s">
        <v>239</v>
      </c>
      <c r="K38" s="108" t="s">
        <v>240</v>
      </c>
      <c r="L38" s="108">
        <v>0.7</v>
      </c>
      <c r="M38" s="108">
        <v>3.25</v>
      </c>
      <c r="N38" s="108">
        <v>105</v>
      </c>
      <c r="O38" s="108">
        <v>0.7</v>
      </c>
      <c r="P38" s="108">
        <v>3.25</v>
      </c>
      <c r="R38" s="108" t="str">
        <f>t_Fruchtarten_Nährstoffe[[#This Row],[FRUARTTEXT]]</f>
        <v>Luzernegras (TM)</v>
      </c>
    </row>
    <row r="39" spans="1:18">
      <c r="A39" s="108" t="s">
        <v>25</v>
      </c>
      <c r="B39" s="108" t="s">
        <v>177</v>
      </c>
      <c r="H39" s="108">
        <v>1</v>
      </c>
      <c r="I39" s="108" t="str">
        <f>LEFT(t_Fruchtarten_Nährstoffe[[#This Row],[FRUARTTEXT]],1)</f>
        <v>M</v>
      </c>
      <c r="J39" s="164" t="s">
        <v>241</v>
      </c>
      <c r="K39" s="108" t="s">
        <v>242</v>
      </c>
      <c r="L39" s="108">
        <v>1.25</v>
      </c>
      <c r="M39" s="108">
        <v>3.5</v>
      </c>
      <c r="N39" s="108">
        <v>35</v>
      </c>
      <c r="O39" s="108">
        <v>1.25</v>
      </c>
      <c r="P39" s="108">
        <v>3.5</v>
      </c>
      <c r="R39" s="108" t="str">
        <f>t_Fruchtarten_Nährstoffe[[#This Row],[FRUARTTEXT]]</f>
        <v>Mähweide, 1 Schnitt</v>
      </c>
    </row>
    <row r="40" spans="1:18">
      <c r="B40" s="108" t="s">
        <v>46</v>
      </c>
      <c r="H40" s="108">
        <v>1</v>
      </c>
      <c r="I40" s="108" t="str">
        <f>LEFT(t_Fruchtarten_Nährstoffe[[#This Row],[FRUARTTEXT]],1)</f>
        <v>M</v>
      </c>
      <c r="J40" s="164" t="s">
        <v>243</v>
      </c>
      <c r="K40" s="108" t="s">
        <v>244</v>
      </c>
      <c r="L40" s="108">
        <v>1.25</v>
      </c>
      <c r="M40" s="108">
        <v>3.5</v>
      </c>
      <c r="N40" s="108">
        <v>60</v>
      </c>
      <c r="O40" s="108">
        <v>1.25</v>
      </c>
      <c r="P40" s="108">
        <v>3.5</v>
      </c>
      <c r="R40" s="108" t="str">
        <f>t_Fruchtarten_Nährstoffe[[#This Row],[FRUARTTEXT]]</f>
        <v>Mähweide, 2 Schnitte</v>
      </c>
    </row>
    <row r="41" spans="1:18">
      <c r="B41" s="108" t="s">
        <v>143</v>
      </c>
      <c r="H41" s="108">
        <v>1</v>
      </c>
      <c r="I41" s="108" t="str">
        <f>LEFT(t_Fruchtarten_Nährstoffe[[#This Row],[FRUARTTEXT]],1)</f>
        <v>M</v>
      </c>
      <c r="J41" s="164" t="s">
        <v>245</v>
      </c>
      <c r="K41" s="108" t="s">
        <v>246</v>
      </c>
      <c r="L41" s="108">
        <v>1.25</v>
      </c>
      <c r="M41" s="108">
        <v>3.5</v>
      </c>
      <c r="N41" s="108">
        <v>75</v>
      </c>
      <c r="O41" s="108">
        <v>1.25</v>
      </c>
      <c r="P41" s="108">
        <v>3.5</v>
      </c>
      <c r="R41" s="108" t="str">
        <f>t_Fruchtarten_Nährstoffe[[#This Row],[FRUARTTEXT]]</f>
        <v>Mähweide, 3 Schnitte</v>
      </c>
    </row>
    <row r="42" spans="1:18">
      <c r="H42" s="108">
        <v>1</v>
      </c>
      <c r="I42" s="108" t="str">
        <f>LEFT(t_Fruchtarten_Nährstoffe[[#This Row],[FRUARTTEXT]],1)</f>
        <v>M</v>
      </c>
      <c r="J42" s="164" t="s">
        <v>247</v>
      </c>
      <c r="K42" s="108" t="s">
        <v>248</v>
      </c>
      <c r="L42" s="108">
        <v>1.25</v>
      </c>
      <c r="M42" s="108">
        <v>3.5</v>
      </c>
      <c r="N42" s="108">
        <v>90</v>
      </c>
      <c r="O42" s="108">
        <v>1.25</v>
      </c>
      <c r="P42" s="108">
        <v>3.5</v>
      </c>
      <c r="R42" s="108" t="str">
        <f>t_Fruchtarten_Nährstoffe[[#This Row],[FRUARTTEXT]]</f>
        <v>Mähweide, 4 Schnitte</v>
      </c>
    </row>
    <row r="43" spans="1:18" ht="24" thickBot="1">
      <c r="A43" s="167" t="s">
        <v>930</v>
      </c>
      <c r="H43" s="108">
        <v>1</v>
      </c>
      <c r="I43" s="108" t="str">
        <f>LEFT(t_Fruchtarten_Nährstoffe[[#This Row],[FRUARTTEXT]],1)</f>
        <v>M</v>
      </c>
      <c r="J43" s="164" t="s">
        <v>249</v>
      </c>
      <c r="K43" s="108" t="s">
        <v>250</v>
      </c>
      <c r="L43" s="108">
        <v>1.25</v>
      </c>
      <c r="M43" s="108">
        <v>3.5</v>
      </c>
      <c r="N43" s="108">
        <v>20</v>
      </c>
      <c r="O43" s="108">
        <v>1.25</v>
      </c>
      <c r="P43" s="108">
        <v>3.5</v>
      </c>
      <c r="R43" s="108" t="str">
        <f>t_Fruchtarten_Nährstoffe[[#This Row],[FRUARTTEXT]]</f>
        <v>Mähweide, extensiv</v>
      </c>
    </row>
    <row r="44" spans="1:18">
      <c r="I44" s="108" t="str">
        <f>LEFT(t_Fruchtarten_Nährstoffe[[#This Row],[FRUARTTEXT]],1)</f>
        <v>M</v>
      </c>
      <c r="J44" s="164" t="s">
        <v>251</v>
      </c>
      <c r="K44" s="108" t="s">
        <v>252</v>
      </c>
      <c r="L44" s="108">
        <v>0.1</v>
      </c>
      <c r="M44" s="108">
        <v>0.42</v>
      </c>
      <c r="N44" s="108">
        <v>650</v>
      </c>
      <c r="O44" s="108">
        <v>0.14000000000000001</v>
      </c>
      <c r="P44" s="108">
        <v>0.56999999999999995</v>
      </c>
      <c r="R44" s="108" t="str">
        <f>t_Fruchtarten_Nährstoffe[[#This Row],[FRUARTTEXT]]</f>
        <v>Mairübe</v>
      </c>
    </row>
    <row r="45" spans="1:18">
      <c r="A45" s="172" t="s">
        <v>934</v>
      </c>
      <c r="I45" s="108" t="str">
        <f>LEFT(t_Fruchtarten_Nährstoffe[[#This Row],[FRUARTTEXT]],1)</f>
        <v>M</v>
      </c>
      <c r="J45" s="164" t="s">
        <v>253</v>
      </c>
      <c r="K45" s="108" t="s">
        <v>254</v>
      </c>
      <c r="L45" s="108">
        <v>0.08</v>
      </c>
      <c r="M45" s="108">
        <v>0.53</v>
      </c>
      <c r="N45" s="108">
        <v>600</v>
      </c>
      <c r="O45" s="108">
        <v>0.11</v>
      </c>
      <c r="P45" s="108">
        <v>0.64</v>
      </c>
      <c r="R45" s="108" t="str">
        <f>t_Fruchtarten_Nährstoffe[[#This Row],[FRUARTTEXT]]</f>
        <v>Möhren, Bund-</v>
      </c>
    </row>
    <row r="46" spans="1:18">
      <c r="A46" s="171" t="s">
        <v>935</v>
      </c>
      <c r="I46" s="108" t="str">
        <f>LEFT(t_Fruchtarten_Nährstoffe[[#This Row],[FRUARTTEXT]],1)</f>
        <v>M</v>
      </c>
      <c r="J46" s="164" t="s">
        <v>255</v>
      </c>
      <c r="K46" s="108" t="s">
        <v>256</v>
      </c>
      <c r="L46" s="108">
        <v>0.08</v>
      </c>
      <c r="M46" s="108">
        <v>0.42</v>
      </c>
      <c r="N46" s="108">
        <v>700</v>
      </c>
      <c r="O46" s="108">
        <v>0.12</v>
      </c>
      <c r="P46" s="108">
        <v>0.6</v>
      </c>
      <c r="R46" s="108" t="str">
        <f>t_Fruchtarten_Nährstoffe[[#This Row],[FRUARTTEXT]]</f>
        <v>Möhren, Wasch-</v>
      </c>
    </row>
    <row r="47" spans="1:18">
      <c r="A47" s="171" t="s">
        <v>932</v>
      </c>
      <c r="I47" s="108" t="str">
        <f>LEFT(t_Fruchtarten_Nährstoffe[[#This Row],[FRUARTTEXT]],1)</f>
        <v>Ö</v>
      </c>
      <c r="J47" s="164" t="s">
        <v>257</v>
      </c>
      <c r="K47" s="108" t="s">
        <v>258</v>
      </c>
      <c r="L47" s="108">
        <v>1.2</v>
      </c>
      <c r="M47" s="108">
        <v>1</v>
      </c>
      <c r="N47" s="108">
        <v>20</v>
      </c>
      <c r="O47" s="108">
        <v>1.5</v>
      </c>
      <c r="P47" s="108">
        <v>3.1</v>
      </c>
      <c r="R47" s="108" t="str">
        <f>t_Fruchtarten_Nährstoffe[[#This Row],[FRUARTTEXT]]</f>
        <v>Öllein</v>
      </c>
    </row>
    <row r="48" spans="1:18">
      <c r="A48" s="171" t="s">
        <v>931</v>
      </c>
      <c r="I48" s="108" t="str">
        <f>LEFT(t_Fruchtarten_Nährstoffe[[#This Row],[FRUARTTEXT]],1)</f>
        <v>Ö</v>
      </c>
      <c r="J48" s="164" t="s">
        <v>259</v>
      </c>
      <c r="K48" s="108" t="s">
        <v>260</v>
      </c>
      <c r="L48" s="108">
        <v>1.2</v>
      </c>
      <c r="M48" s="108">
        <v>1</v>
      </c>
      <c r="N48" s="108">
        <v>20</v>
      </c>
      <c r="O48" s="108">
        <v>1.5</v>
      </c>
      <c r="P48" s="108">
        <v>3.1</v>
      </c>
      <c r="R48" s="108" t="str">
        <f>t_Fruchtarten_Nährstoffe[[#This Row],[FRUARTTEXT]]</f>
        <v>Öllein (91 % TS)</v>
      </c>
    </row>
    <row r="49" spans="8:18">
      <c r="I49" s="108" t="str">
        <f>LEFT(t_Fruchtarten_Nährstoffe[[#This Row],[FRUARTTEXT]],1)</f>
        <v>P</v>
      </c>
      <c r="J49" s="164" t="s">
        <v>261</v>
      </c>
      <c r="K49" s="108" t="s">
        <v>262</v>
      </c>
      <c r="L49" s="108">
        <v>0.08</v>
      </c>
      <c r="M49" s="108">
        <v>0.36</v>
      </c>
      <c r="N49" s="108">
        <v>500</v>
      </c>
      <c r="O49" s="108">
        <v>0.14000000000000001</v>
      </c>
      <c r="P49" s="108">
        <v>0.8</v>
      </c>
      <c r="R49" s="108" t="str">
        <f>t_Fruchtarten_Nährstoffe[[#This Row],[FRUARTTEXT]]</f>
        <v>Porree</v>
      </c>
    </row>
    <row r="50" spans="8:18">
      <c r="I50" s="108" t="str">
        <f>LEFT(t_Fruchtarten_Nährstoffe[[#This Row],[FRUARTTEXT]],1)</f>
        <v>R</v>
      </c>
      <c r="J50" s="164" t="s">
        <v>263</v>
      </c>
      <c r="K50" s="108" t="s">
        <v>264</v>
      </c>
      <c r="L50" s="108">
        <v>7.0000000000000007E-2</v>
      </c>
      <c r="M50" s="108">
        <v>0.34</v>
      </c>
      <c r="N50" s="108">
        <v>300</v>
      </c>
      <c r="O50" s="108">
        <v>0.1</v>
      </c>
      <c r="P50" s="108">
        <v>0.48</v>
      </c>
      <c r="R50" s="108" t="str">
        <f>t_Fruchtarten_Nährstoffe[[#This Row],[FRUARTTEXT]]</f>
        <v>Radies</v>
      </c>
    </row>
    <row r="51" spans="8:18">
      <c r="I51" s="108" t="str">
        <f>LEFT(t_Fruchtarten_Nährstoffe[[#This Row],[FRUARTTEXT]],1)</f>
        <v>S</v>
      </c>
      <c r="J51" s="164" t="s">
        <v>265</v>
      </c>
      <c r="K51" s="108" t="s">
        <v>266</v>
      </c>
      <c r="L51" s="108">
        <v>0.13</v>
      </c>
      <c r="M51" s="108">
        <v>0.56999999999999995</v>
      </c>
      <c r="N51" s="108">
        <v>600</v>
      </c>
      <c r="O51" s="108">
        <v>0.14000000000000001</v>
      </c>
      <c r="P51" s="108">
        <v>0.61</v>
      </c>
      <c r="R51" s="108" t="str">
        <f>t_Fruchtarten_Nährstoffe[[#This Row],[FRUARTTEXT]]</f>
        <v>Sellerie</v>
      </c>
    </row>
    <row r="52" spans="8:18">
      <c r="I52" s="108" t="str">
        <f>LEFT(t_Fruchtarten_Nährstoffe[[#This Row],[FRUARTTEXT]],1)</f>
        <v>S</v>
      </c>
      <c r="J52" s="164" t="s">
        <v>267</v>
      </c>
      <c r="K52" s="108" t="s">
        <v>268</v>
      </c>
      <c r="L52" s="108">
        <v>0.13</v>
      </c>
      <c r="M52" s="108">
        <v>0.56999999999999995</v>
      </c>
      <c r="N52" s="108">
        <v>600</v>
      </c>
      <c r="O52" s="108">
        <v>0.14000000000000001</v>
      </c>
      <c r="P52" s="108">
        <v>0.61</v>
      </c>
      <c r="R52" s="108" t="str">
        <f>t_Fruchtarten_Nährstoffe[[#This Row],[FRUARTTEXT]]</f>
        <v>Sellerie, Bund-</v>
      </c>
    </row>
    <row r="53" spans="8:18">
      <c r="I53" s="108" t="str">
        <f>LEFT(t_Fruchtarten_Nährstoffe[[#This Row],[FRUARTTEXT]],1)</f>
        <v>S</v>
      </c>
      <c r="J53" s="164" t="s">
        <v>269</v>
      </c>
      <c r="K53" s="108" t="s">
        <v>270</v>
      </c>
      <c r="L53" s="108">
        <v>0.15</v>
      </c>
      <c r="M53" s="108">
        <v>0.54</v>
      </c>
      <c r="N53" s="108">
        <v>500</v>
      </c>
      <c r="O53" s="108">
        <v>0.21</v>
      </c>
      <c r="P53" s="108">
        <v>0.92</v>
      </c>
      <c r="R53" s="108" t="str">
        <f>t_Fruchtarten_Nährstoffe[[#This Row],[FRUARTTEXT]]</f>
        <v>Sellerie, Knollen-</v>
      </c>
    </row>
    <row r="54" spans="8:18">
      <c r="I54" s="108" t="str">
        <f>LEFT(t_Fruchtarten_Nährstoffe[[#This Row],[FRUARTTEXT]],1)</f>
        <v>S</v>
      </c>
      <c r="J54" s="164" t="s">
        <v>271</v>
      </c>
      <c r="K54" s="108" t="s">
        <v>272</v>
      </c>
      <c r="L54" s="108">
        <v>0.12</v>
      </c>
      <c r="M54" s="108">
        <v>0.54</v>
      </c>
      <c r="N54" s="108">
        <v>500</v>
      </c>
      <c r="O54" s="108">
        <v>0.18</v>
      </c>
      <c r="P54" s="108">
        <v>0.99</v>
      </c>
      <c r="R54" s="108" t="str">
        <f>t_Fruchtarten_Nährstoffe[[#This Row],[FRUARTTEXT]]</f>
        <v>Sellerie, Stangen-</v>
      </c>
    </row>
    <row r="55" spans="8:18">
      <c r="H55" s="108">
        <v>1</v>
      </c>
      <c r="I55" s="108" t="str">
        <f>LEFT(t_Fruchtarten_Nährstoffe[[#This Row],[FRUARTTEXT]],1)</f>
        <v>S</v>
      </c>
      <c r="J55" s="164" t="s">
        <v>273</v>
      </c>
      <c r="K55" s="108" t="s">
        <v>274</v>
      </c>
      <c r="L55" s="108">
        <v>0.16</v>
      </c>
      <c r="M55" s="108">
        <v>0.45</v>
      </c>
      <c r="N55" s="108">
        <v>500</v>
      </c>
      <c r="O55" s="108">
        <v>0.16</v>
      </c>
      <c r="P55" s="108">
        <v>0.45</v>
      </c>
      <c r="R55" s="108" t="str">
        <f>t_Fruchtarten_Nährstoffe[[#This Row],[FRUARTTEXT]]</f>
        <v>Silomais</v>
      </c>
    </row>
    <row r="56" spans="8:18">
      <c r="I56" s="108" t="str">
        <f>LEFT(t_Fruchtarten_Nährstoffe[[#This Row],[FRUARTTEXT]],1)</f>
        <v>S</v>
      </c>
      <c r="J56" s="164" t="s">
        <v>275</v>
      </c>
      <c r="K56" s="108" t="s">
        <v>276</v>
      </c>
      <c r="L56" s="108">
        <v>0.56999999999999995</v>
      </c>
      <c r="M56" s="108">
        <v>1.61</v>
      </c>
      <c r="N56" s="108">
        <v>110</v>
      </c>
      <c r="O56" s="108">
        <v>0.56999999999999995</v>
      </c>
      <c r="P56" s="108">
        <v>1.61</v>
      </c>
      <c r="R56" s="108" t="str">
        <f>t_Fruchtarten_Nährstoffe[[#This Row],[FRUARTTEXT]]</f>
        <v>Silomais (TM)</v>
      </c>
    </row>
    <row r="57" spans="8:18">
      <c r="I57" s="108" t="str">
        <f>LEFT(t_Fruchtarten_Nährstoffe[[#This Row],[FRUARTTEXT]],1)</f>
        <v>S</v>
      </c>
      <c r="J57" s="164" t="s">
        <v>277</v>
      </c>
      <c r="K57" s="108" t="s">
        <v>278</v>
      </c>
      <c r="L57" s="108">
        <v>1.5</v>
      </c>
      <c r="M57" s="108">
        <v>1.7</v>
      </c>
      <c r="N57" s="108">
        <v>25</v>
      </c>
      <c r="O57" s="108">
        <v>1.8</v>
      </c>
      <c r="P57" s="108">
        <v>5.7</v>
      </c>
      <c r="R57" s="108" t="str">
        <f>t_Fruchtarten_Nährstoffe[[#This Row],[FRUARTTEXT]]</f>
        <v>Sojabohnen</v>
      </c>
    </row>
    <row r="58" spans="8:18">
      <c r="H58" s="108">
        <v>1</v>
      </c>
      <c r="I58" s="108" t="str">
        <f>LEFT(t_Fruchtarten_Nährstoffe[[#This Row],[FRUARTTEXT]],1)</f>
        <v>S</v>
      </c>
      <c r="J58" s="164" t="s">
        <v>279</v>
      </c>
      <c r="K58" s="108" t="s">
        <v>280</v>
      </c>
      <c r="L58" s="108">
        <v>0.8</v>
      </c>
      <c r="M58" s="108">
        <v>0.6</v>
      </c>
      <c r="N58" s="108">
        <v>50</v>
      </c>
      <c r="O58" s="108">
        <v>1.01</v>
      </c>
      <c r="P58" s="108">
        <v>2.2999999999999998</v>
      </c>
      <c r="R58" s="108" t="str">
        <f>t_Fruchtarten_Nährstoffe[[#This Row],[FRUARTTEXT]]</f>
        <v>Sommerbraugerste</v>
      </c>
    </row>
    <row r="59" spans="8:18">
      <c r="H59" s="108">
        <v>1</v>
      </c>
      <c r="I59" s="108" t="str">
        <f>LEFT(t_Fruchtarten_Nährstoffe[[#This Row],[FRUARTTEXT]],1)</f>
        <v>S</v>
      </c>
      <c r="J59" s="164" t="s">
        <v>281</v>
      </c>
      <c r="K59" s="108" t="s">
        <v>282</v>
      </c>
      <c r="L59" s="108">
        <v>0.8</v>
      </c>
      <c r="M59" s="108">
        <v>0.6</v>
      </c>
      <c r="N59" s="108">
        <v>50</v>
      </c>
      <c r="O59" s="108">
        <v>1.04</v>
      </c>
      <c r="P59" s="108">
        <v>2.2999999999999998</v>
      </c>
      <c r="R59" s="108" t="str">
        <f>t_Fruchtarten_Nährstoffe[[#This Row],[FRUARTTEXT]]</f>
        <v>Sommergerste (Fut.)</v>
      </c>
    </row>
    <row r="60" spans="8:18">
      <c r="H60" s="108">
        <v>1</v>
      </c>
      <c r="I60" s="108" t="str">
        <f>LEFT(t_Fruchtarten_Nährstoffe[[#This Row],[FRUARTTEXT]],1)</f>
        <v>S</v>
      </c>
      <c r="J60" s="164" t="s">
        <v>283</v>
      </c>
      <c r="K60" s="108" t="s">
        <v>284</v>
      </c>
      <c r="L60" s="108">
        <v>1.8</v>
      </c>
      <c r="M60" s="108">
        <v>1</v>
      </c>
      <c r="N60" s="108">
        <v>25</v>
      </c>
      <c r="O60" s="108">
        <v>2.48</v>
      </c>
      <c r="P60" s="108">
        <v>5</v>
      </c>
      <c r="R60" s="108" t="str">
        <f>t_Fruchtarten_Nährstoffe[[#This Row],[FRUARTTEXT]]</f>
        <v>Sommerraps</v>
      </c>
    </row>
    <row r="61" spans="8:18">
      <c r="H61" s="108">
        <v>1</v>
      </c>
      <c r="I61" s="108" t="str">
        <f>LEFT(t_Fruchtarten_Nährstoffe[[#This Row],[FRUARTTEXT]],1)</f>
        <v>S</v>
      </c>
      <c r="J61" s="164" t="s">
        <v>285</v>
      </c>
      <c r="K61" s="108" t="s">
        <v>286</v>
      </c>
      <c r="L61" s="108">
        <v>0.8</v>
      </c>
      <c r="M61" s="108">
        <v>0.6</v>
      </c>
      <c r="N61" s="108">
        <v>50</v>
      </c>
      <c r="O61" s="108">
        <v>1.07</v>
      </c>
      <c r="P61" s="108">
        <v>2.6</v>
      </c>
      <c r="R61" s="108" t="str">
        <f>t_Fruchtarten_Nährstoffe[[#This Row],[FRUARTTEXT]]</f>
        <v>Sommerroggen</v>
      </c>
    </row>
    <row r="62" spans="8:18">
      <c r="H62" s="108">
        <v>1</v>
      </c>
      <c r="I62" s="108" t="str">
        <f>LEFT(t_Fruchtarten_Nährstoffe[[#This Row],[FRUARTTEXT]],1)</f>
        <v>S</v>
      </c>
      <c r="J62" s="164" t="s">
        <v>287</v>
      </c>
      <c r="K62" s="108" t="s">
        <v>288</v>
      </c>
      <c r="L62" s="108">
        <v>0.8</v>
      </c>
      <c r="M62" s="108">
        <v>0.6</v>
      </c>
      <c r="N62" s="108">
        <v>60</v>
      </c>
      <c r="O62" s="108">
        <v>1.04</v>
      </c>
      <c r="P62" s="108">
        <v>2</v>
      </c>
      <c r="R62" s="108" t="str">
        <f>t_Fruchtarten_Nährstoffe[[#This Row],[FRUARTTEXT]]</f>
        <v>Sommerweizen</v>
      </c>
    </row>
    <row r="63" spans="8:18">
      <c r="H63" s="108">
        <v>1</v>
      </c>
      <c r="I63" s="108" t="str">
        <f>LEFT(t_Fruchtarten_Nährstoffe[[#This Row],[FRUARTTEXT]],1)</f>
        <v>S</v>
      </c>
      <c r="J63" s="164" t="s">
        <v>289</v>
      </c>
      <c r="K63" s="108" t="s">
        <v>290</v>
      </c>
      <c r="L63" s="108">
        <v>1.6</v>
      </c>
      <c r="M63" s="108">
        <v>2.4</v>
      </c>
      <c r="N63" s="108">
        <v>27</v>
      </c>
      <c r="O63" s="108">
        <v>3.4</v>
      </c>
      <c r="P63" s="108">
        <v>11.4</v>
      </c>
      <c r="R63" s="108" t="str">
        <f>t_Fruchtarten_Nährstoffe[[#This Row],[FRUARTTEXT]]</f>
        <v>Sonnenblumen</v>
      </c>
    </row>
    <row r="64" spans="8:18">
      <c r="I64" s="108" t="str">
        <f>LEFT(t_Fruchtarten_Nährstoffe[[#This Row],[FRUARTTEXT]],1)</f>
        <v>S</v>
      </c>
      <c r="J64" s="164" t="s">
        <v>291</v>
      </c>
      <c r="K64" s="108" t="s">
        <v>292</v>
      </c>
      <c r="L64" s="108">
        <v>0.08</v>
      </c>
      <c r="M64" s="108">
        <v>0.24</v>
      </c>
      <c r="N64" s="108">
        <v>80</v>
      </c>
      <c r="O64" s="108">
        <v>0.3</v>
      </c>
      <c r="P64" s="108">
        <v>0.98</v>
      </c>
      <c r="R64" s="108" t="str">
        <f>t_Fruchtarten_Nährstoffe[[#This Row],[FRUARTTEXT]]</f>
        <v>Spargel</v>
      </c>
    </row>
    <row r="65" spans="8:18">
      <c r="I65" s="108" t="str">
        <f>LEFT(t_Fruchtarten_Nährstoffe[[#This Row],[FRUARTTEXT]],1)</f>
        <v>S</v>
      </c>
      <c r="J65" s="164" t="s">
        <v>293</v>
      </c>
      <c r="K65" s="108" t="s">
        <v>292</v>
      </c>
      <c r="L65" s="108">
        <v>1</v>
      </c>
      <c r="M65" s="108">
        <v>1</v>
      </c>
      <c r="N65" s="108">
        <v>1</v>
      </c>
      <c r="O65" s="108">
        <v>0.3</v>
      </c>
      <c r="P65" s="108">
        <v>1.25</v>
      </c>
      <c r="R65" s="108" t="str">
        <f>t_Fruchtarten_Nährstoffe[[#This Row],[FRUARTTEXT]]</f>
        <v>Spargel</v>
      </c>
    </row>
    <row r="66" spans="8:18">
      <c r="I66" s="108" t="str">
        <f>LEFT(t_Fruchtarten_Nährstoffe[[#This Row],[FRUARTTEXT]],1)</f>
        <v>S</v>
      </c>
      <c r="J66" s="164" t="s">
        <v>294</v>
      </c>
      <c r="K66" s="108" t="s">
        <v>295</v>
      </c>
      <c r="L66" s="108">
        <v>0.06</v>
      </c>
      <c r="M66" s="108">
        <v>0.3</v>
      </c>
      <c r="N66" s="108">
        <v>200</v>
      </c>
      <c r="O66" s="108">
        <v>0.06</v>
      </c>
      <c r="P66" s="108">
        <v>0.3</v>
      </c>
      <c r="R66" s="108" t="str">
        <f>t_Fruchtarten_Nährstoffe[[#This Row],[FRUARTTEXT]]</f>
        <v>Steinobst</v>
      </c>
    </row>
    <row r="67" spans="8:18">
      <c r="H67" s="108">
        <v>1</v>
      </c>
      <c r="I67" s="108" t="str">
        <f>LEFT(t_Fruchtarten_Nährstoffe[[#This Row],[FRUARTTEXT]],1)</f>
        <v>T</v>
      </c>
      <c r="J67" s="164" t="s">
        <v>296</v>
      </c>
      <c r="K67" s="108" t="s">
        <v>297</v>
      </c>
      <c r="L67" s="108">
        <v>0.8</v>
      </c>
      <c r="M67" s="108">
        <v>0.6</v>
      </c>
      <c r="N67" s="108">
        <v>60</v>
      </c>
      <c r="O67" s="108">
        <v>1.07</v>
      </c>
      <c r="P67" s="108">
        <v>2.2999999999999998</v>
      </c>
      <c r="R67" s="108" t="str">
        <f>t_Fruchtarten_Nährstoffe[[#This Row],[FRUARTTEXT]]</f>
        <v>Triticale</v>
      </c>
    </row>
    <row r="68" spans="8:18">
      <c r="H68" s="108">
        <v>1</v>
      </c>
      <c r="I68" s="108" t="str">
        <f>LEFT(t_Fruchtarten_Nährstoffe[[#This Row],[FRUARTTEXT]],1)</f>
        <v>W</v>
      </c>
      <c r="J68" s="164" t="s">
        <v>298</v>
      </c>
      <c r="K68" s="108" t="s">
        <v>299</v>
      </c>
      <c r="L68" s="108">
        <v>7</v>
      </c>
      <c r="M68" s="108">
        <v>10</v>
      </c>
      <c r="N68" s="108">
        <v>3</v>
      </c>
      <c r="O68" s="108">
        <v>7</v>
      </c>
      <c r="P68" s="108">
        <v>10</v>
      </c>
      <c r="R68" s="108" t="str">
        <f>t_Fruchtarten_Nährstoffe[[#This Row],[FRUARTTEXT]]</f>
        <v>Weide</v>
      </c>
    </row>
    <row r="69" spans="8:18">
      <c r="H69" s="108">
        <v>1</v>
      </c>
      <c r="I69" s="108" t="str">
        <f>LEFT(t_Fruchtarten_Nährstoffe[[#This Row],[FRUARTTEXT]],1)</f>
        <v>W</v>
      </c>
      <c r="J69" s="164" t="s">
        <v>300</v>
      </c>
      <c r="K69" s="108" t="s">
        <v>301</v>
      </c>
      <c r="L69" s="108">
        <v>0.8</v>
      </c>
      <c r="M69" s="108">
        <v>0.6</v>
      </c>
      <c r="N69" s="108">
        <v>60</v>
      </c>
      <c r="O69" s="108">
        <v>1.1000000000000001</v>
      </c>
      <c r="P69" s="108">
        <v>2.2999999999999998</v>
      </c>
      <c r="R69" s="108" t="str">
        <f>t_Fruchtarten_Nährstoffe[[#This Row],[FRUARTTEXT]]</f>
        <v>Winterbraugerste</v>
      </c>
    </row>
    <row r="70" spans="8:18">
      <c r="H70" s="108">
        <v>1</v>
      </c>
      <c r="I70" s="108" t="str">
        <f>LEFT(t_Fruchtarten_Nährstoffe[[#This Row],[FRUARTTEXT]],1)</f>
        <v>W</v>
      </c>
      <c r="J70" s="164" t="s">
        <v>302</v>
      </c>
      <c r="K70" s="108" t="s">
        <v>303</v>
      </c>
      <c r="L70" s="108">
        <v>0.8</v>
      </c>
      <c r="M70" s="108">
        <v>0.6</v>
      </c>
      <c r="N70" s="108">
        <v>60</v>
      </c>
      <c r="O70" s="108">
        <v>1.1000000000000001</v>
      </c>
      <c r="P70" s="108">
        <v>2</v>
      </c>
      <c r="R70" s="108" t="str">
        <f>t_Fruchtarten_Nährstoffe[[#This Row],[FRUARTTEXT]]</f>
        <v>Winterbrauweizen</v>
      </c>
    </row>
    <row r="71" spans="8:18">
      <c r="H71" s="108">
        <v>1</v>
      </c>
      <c r="I71" s="108" t="str">
        <f>LEFT(t_Fruchtarten_Nährstoffe[[#This Row],[FRUARTTEXT]],1)</f>
        <v>W</v>
      </c>
      <c r="J71" s="164" t="s">
        <v>304</v>
      </c>
      <c r="K71" s="108" t="s">
        <v>305</v>
      </c>
      <c r="L71" s="108">
        <v>0.8</v>
      </c>
      <c r="M71" s="108">
        <v>0.6</v>
      </c>
      <c r="N71" s="108">
        <v>70</v>
      </c>
      <c r="O71" s="108">
        <v>1.01</v>
      </c>
      <c r="P71" s="108">
        <v>1.8</v>
      </c>
      <c r="R71" s="108" t="str">
        <f>t_Fruchtarten_Nährstoffe[[#This Row],[FRUARTTEXT]]</f>
        <v>Wintergerste</v>
      </c>
    </row>
    <row r="72" spans="8:18">
      <c r="H72" s="108">
        <v>1</v>
      </c>
      <c r="I72" s="108" t="str">
        <f>LEFT(t_Fruchtarten_Nährstoffe[[#This Row],[FRUARTTEXT]],1)</f>
        <v>W</v>
      </c>
      <c r="J72" s="164" t="s">
        <v>306</v>
      </c>
      <c r="K72" s="108" t="s">
        <v>307</v>
      </c>
      <c r="L72" s="108">
        <v>1.8</v>
      </c>
      <c r="M72" s="108">
        <v>1</v>
      </c>
      <c r="N72" s="108">
        <v>40</v>
      </c>
      <c r="O72" s="108">
        <v>2.48</v>
      </c>
      <c r="P72" s="108">
        <v>5.27</v>
      </c>
      <c r="R72" s="108" t="str">
        <f>t_Fruchtarten_Nährstoffe[[#This Row],[FRUARTTEXT]]</f>
        <v>Winterraps</v>
      </c>
    </row>
    <row r="73" spans="8:18">
      <c r="H73" s="108">
        <v>1</v>
      </c>
      <c r="I73" s="108" t="str">
        <f>LEFT(t_Fruchtarten_Nährstoffe[[#This Row],[FRUARTTEXT]],1)</f>
        <v>W</v>
      </c>
      <c r="J73" s="164" t="s">
        <v>308</v>
      </c>
      <c r="K73" s="108" t="s">
        <v>309</v>
      </c>
      <c r="L73" s="108">
        <v>0.8</v>
      </c>
      <c r="M73" s="108">
        <v>0.6</v>
      </c>
      <c r="N73" s="108">
        <v>55</v>
      </c>
      <c r="O73" s="108">
        <v>1.07</v>
      </c>
      <c r="P73" s="108">
        <v>2.4</v>
      </c>
      <c r="R73" s="108" t="str">
        <f>t_Fruchtarten_Nährstoffe[[#This Row],[FRUARTTEXT]]</f>
        <v>Winterroggen</v>
      </c>
    </row>
    <row r="74" spans="8:18">
      <c r="H74" s="108">
        <v>1</v>
      </c>
      <c r="I74" s="108" t="str">
        <f>LEFT(t_Fruchtarten_Nährstoffe[[#This Row],[FRUARTTEXT]],1)</f>
        <v>W</v>
      </c>
      <c r="J74" s="164" t="s">
        <v>310</v>
      </c>
      <c r="K74" s="108" t="s">
        <v>311</v>
      </c>
      <c r="L74" s="108">
        <v>0.8</v>
      </c>
      <c r="M74" s="108">
        <v>0.6</v>
      </c>
      <c r="N74" s="108">
        <v>75</v>
      </c>
      <c r="O74" s="108">
        <v>1.04</v>
      </c>
      <c r="P74" s="108">
        <v>1.72</v>
      </c>
      <c r="R74" s="108" t="str">
        <f>t_Fruchtarten_Nährstoffe[[#This Row],[FRUARTTEXT]]</f>
        <v>Winterweizen</v>
      </c>
    </row>
    <row r="75" spans="8:18">
      <c r="H75" s="108">
        <v>1</v>
      </c>
      <c r="I75" s="108" t="str">
        <f>LEFT(t_Fruchtarten_Nährstoffe[[#This Row],[FRUARTTEXT]],1)</f>
        <v>Z</v>
      </c>
      <c r="J75" s="164" t="s">
        <v>312</v>
      </c>
      <c r="K75" s="108" t="s">
        <v>313</v>
      </c>
      <c r="L75" s="108">
        <v>0.1</v>
      </c>
      <c r="M75" s="108">
        <v>0.25</v>
      </c>
      <c r="N75" s="108">
        <v>500</v>
      </c>
      <c r="O75" s="108">
        <v>0.18</v>
      </c>
      <c r="P75" s="108">
        <v>0.75</v>
      </c>
      <c r="R75" s="108" t="str">
        <f>t_Fruchtarten_Nährstoffe[[#This Row],[FRUARTTEXT]]</f>
        <v>Zuckerrüben</v>
      </c>
    </row>
    <row r="76" spans="8:18">
      <c r="I76" s="108" t="str">
        <f>LEFT(t_Fruchtarten_Nährstoffe[[#This Row],[FRUARTTEXT]],1)</f>
        <v>Z</v>
      </c>
      <c r="J76" s="164" t="s">
        <v>314</v>
      </c>
      <c r="K76" s="108" t="s">
        <v>315</v>
      </c>
      <c r="L76" s="108">
        <v>0.06</v>
      </c>
      <c r="M76" s="108">
        <v>0.24</v>
      </c>
      <c r="N76" s="108">
        <v>680</v>
      </c>
      <c r="O76" s="108">
        <v>0.09</v>
      </c>
      <c r="P76" s="108">
        <v>0.35</v>
      </c>
      <c r="R76" s="108" t="str">
        <f>t_Fruchtarten_Nährstoffe[[#This Row],[FRUARTTEXT]]</f>
        <v>Zwiebel, Bund-, früh</v>
      </c>
    </row>
    <row r="77" spans="8:18">
      <c r="I77" s="108" t="str">
        <f>LEFT(t_Fruchtarten_Nährstoffe[[#This Row],[FRUARTTEXT]],1)</f>
        <v>Z</v>
      </c>
      <c r="J77" s="164" t="s">
        <v>316</v>
      </c>
      <c r="K77" s="108" t="s">
        <v>317</v>
      </c>
      <c r="L77" s="108">
        <v>0.06</v>
      </c>
      <c r="M77" s="108">
        <v>0.24</v>
      </c>
      <c r="N77" s="108">
        <v>400</v>
      </c>
      <c r="O77" s="108">
        <v>0.14000000000000001</v>
      </c>
      <c r="P77" s="108">
        <v>0.51</v>
      </c>
      <c r="R77" s="108" t="str">
        <f>t_Fruchtarten_Nährstoffe[[#This Row],[FRUARTTEXT]]</f>
        <v>Zwiebel, Bund-, wint</v>
      </c>
    </row>
  </sheetData>
  <pageMargins left="0.7" right="0.7" top="0.78740157499999996" bottom="0.78740157499999996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002060"/>
  </sheetPr>
  <dimension ref="A1:E6"/>
  <sheetViews>
    <sheetView workbookViewId="0"/>
  </sheetViews>
  <sheetFormatPr baseColWidth="10" defaultColWidth="11.42578125" defaultRowHeight="15"/>
  <cols>
    <col min="1" max="1" width="20.28515625" style="286" customWidth="1"/>
    <col min="2" max="2" width="80.28515625" style="288" customWidth="1"/>
    <col min="3" max="3" width="21.28515625" style="288" customWidth="1"/>
    <col min="4" max="4" width="11.42578125" style="289"/>
    <col min="5" max="5" width="11.42578125" style="290"/>
    <col min="6" max="16384" width="11.42578125" style="286"/>
  </cols>
  <sheetData>
    <row r="1" spans="1:5">
      <c r="A1" s="282" t="s">
        <v>318</v>
      </c>
      <c r="B1" s="283" t="s">
        <v>319</v>
      </c>
      <c r="C1" s="283" t="s">
        <v>320</v>
      </c>
      <c r="D1" s="284" t="s">
        <v>94</v>
      </c>
      <c r="E1" s="285" t="s">
        <v>321</v>
      </c>
    </row>
    <row r="2" spans="1:5">
      <c r="A2" s="282" t="s">
        <v>951</v>
      </c>
      <c r="B2" s="282" t="s">
        <v>952</v>
      </c>
      <c r="C2" s="283" t="s">
        <v>868</v>
      </c>
      <c r="D2" s="284">
        <v>45540</v>
      </c>
      <c r="E2" s="285" t="s">
        <v>88</v>
      </c>
    </row>
    <row r="3" spans="1:5">
      <c r="A3" s="287" t="s">
        <v>953</v>
      </c>
      <c r="B3" s="283" t="s">
        <v>954</v>
      </c>
      <c r="C3" s="283" t="s">
        <v>868</v>
      </c>
      <c r="D3" s="284">
        <v>45552</v>
      </c>
      <c r="E3" s="285" t="s">
        <v>322</v>
      </c>
    </row>
    <row r="4" spans="1:5" ht="29.25" customHeight="1">
      <c r="A4" s="287" t="s">
        <v>965</v>
      </c>
      <c r="B4" s="283" t="s">
        <v>966</v>
      </c>
      <c r="C4" s="283" t="s">
        <v>868</v>
      </c>
      <c r="D4" s="284">
        <v>45594</v>
      </c>
      <c r="E4" s="285" t="s">
        <v>961</v>
      </c>
    </row>
    <row r="5" spans="1:5" ht="29.25" customHeight="1">
      <c r="A5" s="287" t="s">
        <v>965</v>
      </c>
      <c r="B5" s="283" t="s">
        <v>967</v>
      </c>
      <c r="C5" s="283" t="s">
        <v>868</v>
      </c>
      <c r="D5" s="284">
        <v>45594</v>
      </c>
      <c r="E5" s="285" t="s">
        <v>961</v>
      </c>
    </row>
    <row r="6" spans="1:5" ht="29.25" customHeight="1">
      <c r="A6" s="287" t="s">
        <v>965</v>
      </c>
      <c r="B6" s="283" t="s">
        <v>974</v>
      </c>
      <c r="C6" s="283" t="s">
        <v>868</v>
      </c>
      <c r="D6" s="284">
        <v>45692</v>
      </c>
      <c r="E6" s="285" t="s">
        <v>973</v>
      </c>
    </row>
  </sheetData>
  <autoFilter ref="A1:E1">
    <sortState ref="A2:E5">
      <sortCondition descending="1" ref="D1"/>
    </sortState>
  </autoFilter>
  <phoneticPr fontId="7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"/>
  <sheetViews>
    <sheetView zoomScale="130" zoomScaleNormal="130" workbookViewId="0"/>
  </sheetViews>
  <sheetFormatPr baseColWidth="10" defaultRowHeight="1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44D979544236843800720397FCF0C3B" ma:contentTypeVersion="3" ma:contentTypeDescription="Ein neues Dokument erstellen." ma:contentTypeScope="" ma:versionID="afdffb8750659ac1a5c2b38336128dc9">
  <xsd:schema xmlns:xsd="http://www.w3.org/2001/XMLSchema" xmlns:xs="http://www.w3.org/2001/XMLSchema" xmlns:p="http://schemas.microsoft.com/office/2006/metadata/properties" xmlns:ns2="0a813d43-1259-436e-8564-e531520a6d01" targetNamespace="http://schemas.microsoft.com/office/2006/metadata/properties" ma:root="true" ma:fieldsID="f281074914dc64f35757f9966eb4c16e" ns2:_="">
    <xsd:import namespace="0a813d43-1259-436e-8564-e531520a6d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813d43-1259-436e-8564-e531520a6d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8B1722-6BC6-4B6C-8B40-D59B4CAEBA8C}">
  <ds:schemaRefs>
    <ds:schemaRef ds:uri="http://purl.org/dc/elements/1.1/"/>
    <ds:schemaRef ds:uri="http://schemas.microsoft.com/office/2006/metadata/properties"/>
    <ds:schemaRef ds:uri="0a813d43-1259-436e-8564-e531520a6d0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2365E1E-BDC8-4274-BD32-7891A15C3A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813d43-1259-436e-8564-e531520a6d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42A1DC-4E57-4F7C-96D5-2C12110C77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</vt:i4>
      </vt:variant>
    </vt:vector>
  </HeadingPairs>
  <TitlesOfParts>
    <vt:vector size="16" baseType="lpstr">
      <vt:lpstr>Auftragsdaten</vt:lpstr>
      <vt:lpstr>Proben</vt:lpstr>
      <vt:lpstr>Muster-csv</vt:lpstr>
      <vt:lpstr>Einstellungen+Makro</vt:lpstr>
      <vt:lpstr>freies Blatt</vt:lpstr>
      <vt:lpstr>Begleitschein</vt:lpstr>
      <vt:lpstr>Anleitung</vt:lpstr>
      <vt:lpstr>Hilfstabellen</vt:lpstr>
      <vt:lpstr>ChangeLog</vt:lpstr>
      <vt:lpstr>analog</vt:lpstr>
      <vt:lpstr>Ackergras</vt:lpstr>
      <vt:lpstr>Auftragsdaten!Druckbereich</vt:lpstr>
      <vt:lpstr>Auftragsdaten!Druckbereich_Auftragsdaten</vt:lpstr>
      <vt:lpstr>Proben!Drucktitel</vt:lpstr>
      <vt:lpstr>Fruchtarten</vt:lpstr>
      <vt:lpstr>Typ_Nmin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1.02</dc:title>
  <dc:creator>Schülter, Mathias</dc:creator>
  <cp:keywords>Boden</cp:keywords>
  <cp:lastModifiedBy>Rupprecht, Markus</cp:lastModifiedBy>
  <cp:revision/>
  <dcterms:created xsi:type="dcterms:W3CDTF">2022-01-06T14:26:45Z</dcterms:created>
  <dcterms:modified xsi:type="dcterms:W3CDTF">2025-02-04T10:29:53Z</dcterms:modified>
  <cp:category>Probenbegleitschein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P_GUID">
    <vt:lpwstr>67b70b52-2227-4a68-b95c-3aca64e7d635</vt:lpwstr>
  </property>
  <property fmtid="{D5CDD505-2E9C-101B-9397-08002B2CF9AE}" pid="3" name="ContentTypeId">
    <vt:lpwstr>0x010100E44D979544236843800720397FCF0C3B</vt:lpwstr>
  </property>
</Properties>
</file>