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updateLinks="never" codeName="DieseArbeitsmappe" defaultThemeVersion="124226"/>
  <mc:AlternateContent xmlns:mc="http://schemas.openxmlformats.org/markup-compatibility/2006">
    <mc:Choice Requires="x15">
      <x15ac:absPath xmlns:x15ac="http://schemas.microsoft.com/office/spreadsheetml/2010/11/ac" url="G:\BIK_intern\EDV\LOBSTER\LOBSTER-Agrar-BNS-IMPORT\PBS B+N_offiziell\dPBS-B\"/>
    </mc:Choice>
  </mc:AlternateContent>
  <xr:revisionPtr revIDLastSave="0" documentId="13_ncr:1_{0EAD3A2A-D51C-420F-903B-DA0862A418D9}" xr6:coauthVersionLast="36" xr6:coauthVersionMax="36" xr10:uidLastSave="{00000000-0000-0000-0000-000000000000}"/>
  <bookViews>
    <workbookView xWindow="555" yWindow="525" windowWidth="16530" windowHeight="5325" tabRatio="840" activeTab="6" xr2:uid="{00000000-000D-0000-FFFF-FFFF00000000}"/>
  </bookViews>
  <sheets>
    <sheet name="Auftragsdaten" sheetId="3" r:id="rId1"/>
    <sheet name="Proben" sheetId="1" r:id="rId2"/>
    <sheet name="Muster-csv" sheetId="5" state="hidden" r:id="rId3"/>
    <sheet name="Einstellungen+Makro" sheetId="26" r:id="rId4"/>
    <sheet name="freies Blatt" sheetId="4" r:id="rId5"/>
    <sheet name="Begleitschein" sheetId="27" r:id="rId6"/>
    <sheet name="Anleitung" sheetId="28" r:id="rId7"/>
    <sheet name="Hilfstabellen" sheetId="2" state="hidden" r:id="rId8"/>
    <sheet name="ChangeLog" sheetId="29" state="hidden" r:id="rId9"/>
  </sheets>
  <definedNames>
    <definedName name="_xlnm._FilterDatabase" localSheetId="8" hidden="1">ChangeLog!$A$1:$E$1</definedName>
    <definedName name="Ackergras">Hilfstabellen!$R$5:$R$77</definedName>
    <definedName name="_xlnm.Print_Area" localSheetId="0">Auftragsdaten!$A$1:$H$38</definedName>
    <definedName name="_xlnm.Print_Area" localSheetId="1">INDIRECT(Proben!$C$1)</definedName>
    <definedName name="Druckbereich_Auftragsdaten" localSheetId="0">Auftragsdaten!$B$2:$H$35</definedName>
    <definedName name="_xlnm.Print_Titles" localSheetId="1">Proben!$3:$5</definedName>
    <definedName name="Fruchtarten" comment="hier sind die Fruchtarten zur Auswahl auf dem Deckblatt hinterlegt. per = Zeichen aus der Tabellen links übernommen">Hilfstabellen!$R$5:$R$77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8" i="1" l="1"/>
  <c r="L8" i="1"/>
  <c r="D7" i="1"/>
  <c r="D8" i="1"/>
  <c r="L7" i="1" l="1"/>
  <c r="Q7" i="1" l="1"/>
  <c r="R6" i="2" l="1"/>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5" i="2"/>
  <c r="J12" i="26" l="1"/>
  <c r="I5" i="2" l="1"/>
  <c r="I16" i="2"/>
  <c r="I17" i="2"/>
  <c r="I18" i="2"/>
  <c r="I19" i="2"/>
  <c r="I20" i="2"/>
  <c r="I21" i="2"/>
  <c r="I26" i="2"/>
  <c r="I33" i="2"/>
  <c r="I39" i="2"/>
  <c r="I40" i="2"/>
  <c r="I41" i="2"/>
  <c r="I42" i="2"/>
  <c r="I43" i="2"/>
  <c r="I55" i="2"/>
  <c r="I58" i="2"/>
  <c r="I59" i="2"/>
  <c r="I60" i="2"/>
  <c r="I61" i="2"/>
  <c r="I62" i="2"/>
  <c r="I63" i="2"/>
  <c r="I67" i="2"/>
  <c r="I68" i="2"/>
  <c r="I69" i="2"/>
  <c r="I70" i="2"/>
  <c r="I71" i="2"/>
  <c r="I72" i="2"/>
  <c r="I73" i="2"/>
  <c r="I74" i="2"/>
  <c r="I75" i="2"/>
  <c r="I4" i="2"/>
  <c r="I6" i="2"/>
  <c r="I7" i="2"/>
  <c r="I8" i="2"/>
  <c r="I9" i="2"/>
  <c r="I10" i="2"/>
  <c r="I11" i="2"/>
  <c r="I12" i="2"/>
  <c r="I13" i="2"/>
  <c r="I14" i="2"/>
  <c r="I15" i="2"/>
  <c r="I22" i="2"/>
  <c r="I23" i="2"/>
  <c r="I24" i="2"/>
  <c r="I25" i="2"/>
  <c r="I27" i="2"/>
  <c r="I28" i="2"/>
  <c r="I29" i="2"/>
  <c r="I30" i="2"/>
  <c r="I31" i="2"/>
  <c r="I32" i="2"/>
  <c r="I34" i="2"/>
  <c r="I35" i="2"/>
  <c r="I36" i="2"/>
  <c r="I37" i="2"/>
  <c r="I38" i="2"/>
  <c r="I44" i="2"/>
  <c r="I45" i="2"/>
  <c r="I46" i="2"/>
  <c r="I47" i="2"/>
  <c r="I48" i="2"/>
  <c r="I49" i="2"/>
  <c r="I50" i="2"/>
  <c r="I51" i="2"/>
  <c r="I52" i="2"/>
  <c r="I53" i="2"/>
  <c r="I54" i="2"/>
  <c r="I56" i="2"/>
  <c r="I57" i="2"/>
  <c r="I64" i="2"/>
  <c r="I65" i="2"/>
  <c r="I66" i="2"/>
  <c r="I76" i="2"/>
  <c r="I77" i="2"/>
  <c r="E3" i="1" l="1"/>
  <c r="C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Schülter, Mathias</author>
  </authors>
  <commentList>
    <comment ref="L5" authorId="0" shapeId="0" xr:uid="{00000000-0006-0000-0100-000001000000}">
      <text>
        <r>
          <rPr>
            <b/>
            <sz val="9"/>
            <color indexed="81"/>
            <rFont val="Segoe UI"/>
            <family val="2"/>
          </rPr>
          <t>Schülter, Mathias:</t>
        </r>
        <r>
          <rPr>
            <sz val="9"/>
            <color indexed="81"/>
            <rFont val="Segoe UI"/>
            <family val="2"/>
          </rPr>
          <t xml:space="preserve">
A: Acker
W: Grünland
R: Rebe
O: Obst
H: Hopfen
U: Übrige
Bei fehlender Angabe wird Ackernutzung unterstellt</t>
        </r>
      </text>
    </comment>
    <comment ref="O5" authorId="0" shapeId="0" xr:uid="{00000000-0006-0000-0100-000002000000}">
      <text>
        <r>
          <rPr>
            <sz val="9"/>
            <color indexed="81"/>
            <rFont val="Segoe UI"/>
            <family val="2"/>
          </rPr>
          <t xml:space="preserve">Kundenagabe Bodenart -&gt; Bodenart wird auf Befund als "Bodenart Kundenangabe" ausgegeben
</t>
        </r>
      </text>
    </comment>
    <comment ref="P5" authorId="0" shapeId="0" xr:uid="{00000000-0006-0000-0100-000003000000}">
      <text>
        <r>
          <rPr>
            <sz val="9"/>
            <color indexed="81"/>
            <rFont val="Segoe UI"/>
            <family val="2"/>
          </rPr>
          <t xml:space="preserve">Kundenangabe Humusstufe, wird als "Humusstufe Kundenangabe" auf dem Befund ausgegeben.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Rupprecht, Markus</author>
    <author>Heintges, Karen</author>
  </authors>
  <commentList>
    <comment ref="AM14" authorId="0" shapeId="0" xr:uid="{00000000-0006-0000-0200-000001000000}">
      <text>
        <r>
          <rPr>
            <sz val="9"/>
            <color indexed="81"/>
            <rFont val="Tahoma"/>
            <family val="2"/>
          </rPr>
          <t>bleibt leer - es sollen NEUE Lots angelegt werden</t>
        </r>
      </text>
    </comment>
    <comment ref="BG14" authorId="0" shapeId="0" xr:uid="{00000000-0006-0000-0200-000002000000}">
      <text>
        <r>
          <rPr>
            <b/>
            <sz val="9"/>
            <color indexed="81"/>
            <rFont val="Tahoma"/>
            <family val="2"/>
          </rPr>
          <t>Rupprecht, Markus:</t>
        </r>
        <r>
          <rPr>
            <sz val="9"/>
            <color indexed="81"/>
            <rFont val="Tahoma"/>
            <family val="2"/>
          </rPr>
          <t xml:space="preserve">
Muss einmalig sein</t>
        </r>
      </text>
    </comment>
    <comment ref="EY14" authorId="0" shapeId="0" xr:uid="{00000000-0006-0000-0200-000003000000}">
      <text>
        <r>
          <rPr>
            <sz val="11"/>
            <color indexed="81"/>
            <rFont val="Tahoma"/>
            <family val="2"/>
          </rPr>
          <t>Gesamter Block ist für jeden der 5 möglichen Einträge zu wiederholen</t>
        </r>
      </text>
    </comment>
    <comment ref="D15" authorId="0" shapeId="0" xr:uid="{00000000-0006-0000-0200-000004000000}">
      <text>
        <r>
          <rPr>
            <sz val="10"/>
            <color indexed="81"/>
            <rFont val="Tahoma"/>
            <family val="2"/>
          </rPr>
          <t>PROBE_BODEN.PROBENR: varchar max 6 &gt;&gt;&gt; erwartet wird "343511"</t>
        </r>
      </text>
    </comment>
    <comment ref="AS15" authorId="0" shapeId="0" xr:uid="{00000000-0006-0000-0200-000005000000}">
      <text>
        <r>
          <rPr>
            <sz val="10"/>
            <color indexed="81"/>
            <rFont val="Tahoma"/>
            <family val="2"/>
          </rPr>
          <t xml:space="preserve">INTEGER max 3 - &gt;&gt;&gt; erwartet wird 235
</t>
        </r>
      </text>
    </comment>
    <comment ref="AW15" authorId="0" shapeId="0" xr:uid="{00000000-0006-0000-0200-000006000000}">
      <text>
        <r>
          <rPr>
            <sz val="10"/>
            <color indexed="81"/>
            <rFont val="Tahoma"/>
            <family val="2"/>
          </rPr>
          <t xml:space="preserve">Nur M und O sind erlaubt &gt;&gt;&gt; erwartet: leerer STRING
</t>
        </r>
      </text>
    </comment>
    <comment ref="BW15" authorId="0" shapeId="0" xr:uid="{00000000-0006-0000-0200-000007000000}">
      <text>
        <r>
          <rPr>
            <sz val="12"/>
            <color indexed="81"/>
            <rFont val="Tahoma"/>
            <family val="2"/>
          </rPr>
          <t>Umwandlung , in .-Delimiter durch Angabe des Datentyps = FLOAT</t>
        </r>
      </text>
    </comment>
    <comment ref="BN18" authorId="1" shapeId="0" xr:uid="{00000000-0006-0000-0200-000008000000}">
      <text>
        <r>
          <rPr>
            <b/>
            <sz val="9"/>
            <color indexed="81"/>
            <rFont val="Segoe UI"/>
            <family val="2"/>
          </rPr>
          <t>Heintges, Karen:</t>
        </r>
        <r>
          <rPr>
            <sz val="9"/>
            <color indexed="81"/>
            <rFont val="Segoe UI"/>
            <family val="2"/>
          </rPr>
          <t xml:space="preserve">
fehlt im XML ! Bisher wurde &lt;externalSampleId&gt;A900999301&lt;/externalSampleId&gt; ist aber viel zu groß!!</t>
        </r>
      </text>
    </comment>
    <comment ref="BV19" authorId="0" shapeId="0" xr:uid="{00000000-0006-0000-0200-000009000000}">
      <text>
        <r>
          <rPr>
            <sz val="12"/>
            <color indexed="81"/>
            <rFont val="Tahoma"/>
            <family val="2"/>
          </rPr>
          <t xml:space="preserve">Normalerweise NICHT verwenden (Analytik über analytic scope)
</t>
        </r>
      </text>
    </comment>
    <comment ref="BW19" authorId="0" shapeId="0" xr:uid="{00000000-0006-0000-0200-00000A000000}">
      <text>
        <r>
          <rPr>
            <sz val="12"/>
            <color indexed="81"/>
            <rFont val="Tahoma"/>
            <family val="2"/>
          </rPr>
          <t xml:space="preserve">Normalerweise NICHT verwenden Preise werden nicht über Probe vergeben
</t>
        </r>
      </text>
    </comment>
    <comment ref="BX19" authorId="0" shapeId="0" xr:uid="{00000000-0006-0000-0200-00000B000000}">
      <text>
        <r>
          <rPr>
            <sz val="12"/>
            <color indexed="81"/>
            <rFont val="Tahoma"/>
            <family val="2"/>
          </rPr>
          <t xml:space="preserve">Normalerweise NICHT verwenden (soll über PEK gesetzt werden)
</t>
        </r>
      </text>
    </comment>
  </commentList>
</comments>
</file>

<file path=xl/sharedStrings.xml><?xml version="1.0" encoding="utf-8"?>
<sst xmlns="http://schemas.openxmlformats.org/spreadsheetml/2006/main" count="1490" uniqueCount="1034">
  <si>
    <t>Untersuchungsauftrag für Agrar-Bodenuntersuchung</t>
  </si>
  <si>
    <t>Tracking ID Paketdienst</t>
  </si>
  <si>
    <t>Orange Felder sind Pflichtfelder</t>
  </si>
  <si>
    <t>Beauftragtes Labor</t>
  </si>
  <si>
    <t>Landwirtschaftlicher Betrieb</t>
  </si>
  <si>
    <t>Rechnungsnehmer (falls abweichend)</t>
  </si>
  <si>
    <t>Kundennummer AGROLAB</t>
  </si>
  <si>
    <t>Kd.Nr. AGROLAB</t>
  </si>
  <si>
    <t>Kundennummer Auftraggeber</t>
  </si>
  <si>
    <t>Kd.Nr. Auftraggeber</t>
  </si>
  <si>
    <t>Name</t>
  </si>
  <si>
    <t>Vorname</t>
  </si>
  <si>
    <t>Straße Nr.</t>
  </si>
  <si>
    <t>PLZ</t>
  </si>
  <si>
    <t>Ort</t>
  </si>
  <si>
    <t>e-mail</t>
  </si>
  <si>
    <t>Telefon</t>
  </si>
  <si>
    <t>Land</t>
  </si>
  <si>
    <t>Bundesland</t>
  </si>
  <si>
    <t>MWSt - VAT-No.</t>
  </si>
  <si>
    <t>Kopie des Befundes an:</t>
  </si>
  <si>
    <t>Auftragsname</t>
  </si>
  <si>
    <t>e-mail(s) (,-getrennt)</t>
  </si>
  <si>
    <t>Projektnr. Agrolab</t>
  </si>
  <si>
    <t>1 Auftrag je Schlag (x) ?</t>
  </si>
  <si>
    <t>NUR SA,BR</t>
  </si>
  <si>
    <t>Extraktion CAL/DL</t>
  </si>
  <si>
    <t>NUR S,SA</t>
  </si>
  <si>
    <t>Trockengebiet</t>
  </si>
  <si>
    <t>Probenahme</t>
  </si>
  <si>
    <t>NUR Belgien</t>
  </si>
  <si>
    <t>Boden schwer</t>
  </si>
  <si>
    <t>Probenehmer-No.</t>
  </si>
  <si>
    <t>WerberNr.</t>
  </si>
  <si>
    <t>für Düngeempfehlung</t>
  </si>
  <si>
    <t>Ertrag [dt/ha]</t>
  </si>
  <si>
    <t>PN Auftragsnr.</t>
  </si>
  <si>
    <t>Preisliste</t>
  </si>
  <si>
    <t>Probenahmedatum</t>
  </si>
  <si>
    <t>TT.MM.JJJJ</t>
  </si>
  <si>
    <t>PN-Preis/Probe</t>
  </si>
  <si>
    <t>€/Probe</t>
  </si>
  <si>
    <t>PN-Preis/ha</t>
  </si>
  <si>
    <t>€/ha</t>
  </si>
  <si>
    <t>ha bei PN-Preis/ha</t>
  </si>
  <si>
    <t>ha</t>
  </si>
  <si>
    <t>Fahrtkosten pauschal</t>
  </si>
  <si>
    <t>€</t>
  </si>
  <si>
    <t>Fahrtkosten / km</t>
  </si>
  <si>
    <t>€/km</t>
  </si>
  <si>
    <t>gefahrene Km</t>
  </si>
  <si>
    <t>km</t>
  </si>
  <si>
    <t xml:space="preserve">Ich akzeptiere die AGB der AGROLAB GmbH </t>
  </si>
  <si>
    <t>Ja</t>
  </si>
  <si>
    <t>https://www.agrolab.com/de/agb.html</t>
  </si>
  <si>
    <t>Proben und Analysenumfang</t>
  </si>
  <si>
    <t>Kundenangabe</t>
  </si>
  <si>
    <t>Analysenumfang - bitte ankreuzen</t>
  </si>
  <si>
    <t>Bemerkung 1 (Bemerkungenwerden nicht an AGROLAB übermittelt)</t>
  </si>
  <si>
    <t>Bemerkung 2 (Bemerkungenwerden nicht an AGROLAB übermittelt)</t>
  </si>
  <si>
    <t>Bemerkung 3 (Bemerkungenwerden nicht an AGROLAB übermittelt)</t>
  </si>
  <si>
    <t>lfd.Nr. /GPS</t>
  </si>
  <si>
    <t>Tütenbarcode</t>
  </si>
  <si>
    <t>Schlagnr.</t>
  </si>
  <si>
    <t>Teilschlagnr.</t>
  </si>
  <si>
    <t>Schlagname</t>
  </si>
  <si>
    <t>Erweiterung Schlagname</t>
  </si>
  <si>
    <t>Schlag-größe
[ha]</t>
  </si>
  <si>
    <t>Proben-
Fläche
[ha]</t>
  </si>
  <si>
    <t>Nutzung 
[A/W/R/O/H/U]</t>
  </si>
  <si>
    <t>Ernte-reste abg.
[j/n]</t>
  </si>
  <si>
    <t>Transport-
tracking-nr.</t>
  </si>
  <si>
    <t>Bodenart</t>
  </si>
  <si>
    <t>Humusstufe</t>
  </si>
  <si>
    <t>Standard pH/P/K/Mg</t>
  </si>
  <si>
    <t>Spuren CAT
Na,Mn,Cu,B,Zn</t>
  </si>
  <si>
    <t>Humusgehalt</t>
  </si>
  <si>
    <t>C/N-Verhältnis</t>
  </si>
  <si>
    <t>Kali-Fixierung</t>
  </si>
  <si>
    <t>Calcium</t>
  </si>
  <si>
    <t>KAK eff</t>
  </si>
  <si>
    <t>KAK pot</t>
  </si>
  <si>
    <t>Korngrößen-verteilung</t>
  </si>
  <si>
    <t>P-Freisetzungs-rate</t>
  </si>
  <si>
    <t>s. Codeliste</t>
  </si>
  <si>
    <t>Bemerkung 2</t>
  </si>
  <si>
    <t>Bemerkung 22</t>
  </si>
  <si>
    <t>Bemerkung 3</t>
  </si>
  <si>
    <t>S-Erweiterung</t>
  </si>
  <si>
    <t>Spalte3</t>
  </si>
  <si>
    <t>Nutzung 
[A/G]</t>
  </si>
  <si>
    <t>Spalte4</t>
  </si>
  <si>
    <t>Spalte2</t>
  </si>
  <si>
    <t>Spalte1</t>
  </si>
  <si>
    <t>Humus-gehalt</t>
  </si>
  <si>
    <t>P-Freiset-zungsrate</t>
  </si>
  <si>
    <t>Einstellungen</t>
  </si>
  <si>
    <t>Version</t>
  </si>
  <si>
    <t>PBS-B</t>
  </si>
  <si>
    <t>Legende</t>
  </si>
  <si>
    <t>Name für Wiederverwertung</t>
  </si>
  <si>
    <t>Bodenarten und Humusklasse</t>
  </si>
  <si>
    <t>bei Bedarf bitte den roten Code angeben</t>
  </si>
  <si>
    <t>Bodenarten Agrolab nach BODARTCOD</t>
  </si>
  <si>
    <t>* Wenn eine alte Datei (xlsm) wiederverwertet wird, muß das alte erzeugte rote Excel-Tabellenblatt manuell gelöscht werden (rechte Maustaste auf Reiter -&gt; Löschen)</t>
  </si>
  <si>
    <t>Code für 
Bodenart</t>
  </si>
  <si>
    <t>AL-Kürzel</t>
  </si>
  <si>
    <t>AL-Bezeichnung</t>
  </si>
  <si>
    <t>S</t>
  </si>
  <si>
    <t>Sand</t>
  </si>
  <si>
    <t>0-5</t>
  </si>
  <si>
    <t>l´S</t>
  </si>
  <si>
    <t>schwach lehmiger Sand</t>
  </si>
  <si>
    <t>lS</t>
  </si>
  <si>
    <t>stark lehmiger Sand</t>
  </si>
  <si>
    <t>sL</t>
  </si>
  <si>
    <t>sandiger Lehm</t>
  </si>
  <si>
    <t>17-25</t>
  </si>
  <si>
    <t>uL</t>
  </si>
  <si>
    <t>Lehm, schluffiger Lehm</t>
  </si>
  <si>
    <t>tL</t>
  </si>
  <si>
    <t>toniger Lehm</t>
  </si>
  <si>
    <t>schwer</t>
  </si>
  <si>
    <t>lT</t>
  </si>
  <si>
    <t>lehmiger Ton</t>
  </si>
  <si>
    <t>45-65</t>
  </si>
  <si>
    <t>T</t>
  </si>
  <si>
    <t>Ton</t>
  </si>
  <si>
    <t>&gt;65</t>
  </si>
  <si>
    <t>Humusklassen Agrolab nach BODTYP</t>
  </si>
  <si>
    <t>Code für 
Humusklasse</t>
  </si>
  <si>
    <t>AL-Kürzel
(auf Befund codiert in Bodenart)</t>
  </si>
  <si>
    <t>AL-Bezeichnung
(in Schnittstellen-Datei)</t>
  </si>
  <si>
    <t>Humusgehalt [%]</t>
  </si>
  <si>
    <t>vgl. Helper-System
HUMUSSTUFE</t>
  </si>
  <si>
    <t>[ohne]</t>
  </si>
  <si>
    <t>Humusarm bis humos</t>
  </si>
  <si>
    <t>0-4</t>
  </si>
  <si>
    <t>1 (0-2%)+2 (2-4%)</t>
  </si>
  <si>
    <t>h</t>
  </si>
  <si>
    <t>Stark humos</t>
  </si>
  <si>
    <t>4,1-8</t>
  </si>
  <si>
    <t>hh</t>
  </si>
  <si>
    <t>Sehr stark humos</t>
  </si>
  <si>
    <t>8,1-15</t>
  </si>
  <si>
    <t>an</t>
  </si>
  <si>
    <t>Anmoorig</t>
  </si>
  <si>
    <t>15,1-30</t>
  </si>
  <si>
    <t>M</t>
  </si>
  <si>
    <t>Moorboden</t>
  </si>
  <si>
    <t>&gt;30</t>
  </si>
  <si>
    <t>6=7</t>
  </si>
  <si>
    <t>Begleitschein an Agrolab</t>
  </si>
  <si>
    <t>Labor</t>
  </si>
  <si>
    <t>Anzahl Proben</t>
  </si>
  <si>
    <t>Datum</t>
  </si>
  <si>
    <t>1         Allgemein</t>
  </si>
  <si>
    <t>Während die rohen Daten auch auf typischen mobilen Geräten (Handys, Tablets) eingegeben werden können, bedarf es für die Ausführung der Makros einen PC (desktop oder laptop)</t>
  </si>
  <si>
    <t>2         Einstellungen (Einmalig in Vorlage)</t>
  </si>
  <si>
    <t>Im Verlauf des Makro-Ablaufes werden folgende Dateien erzeugt:</t>
  </si>
  <si>
    <r>
      <t>1.</t>
    </r>
    <r>
      <rPr>
        <sz val="7"/>
        <color theme="1"/>
        <rFont val="Times New Roman"/>
        <family val="1"/>
      </rPr>
      <t xml:space="preserve">    </t>
    </r>
    <r>
      <rPr>
        <sz val="11"/>
        <color theme="1"/>
        <rFont val="Arial"/>
        <family val="2"/>
      </rPr>
      <t>csv-Datei – diese wird an Agrolab übermittelt und stellt den eigentlichen digitalen Auftrag dar</t>
    </r>
  </si>
  <si>
    <r>
      <t>2.</t>
    </r>
    <r>
      <rPr>
        <sz val="7"/>
        <color theme="1"/>
        <rFont val="Times New Roman"/>
        <family val="1"/>
      </rPr>
      <t xml:space="preserve">    </t>
    </r>
    <r>
      <rPr>
        <sz val="11"/>
        <color theme="1"/>
        <rFont val="Arial"/>
        <family val="2"/>
      </rPr>
      <t>xlsm-Datei: Diese dient dem Auftraggeber als Quittung. Sie kann auch für zukünftige Aufträge als dPBS wiederverwendet werden</t>
    </r>
  </si>
  <si>
    <r>
      <t>3.</t>
    </r>
    <r>
      <rPr>
        <sz val="7"/>
        <color theme="1"/>
        <rFont val="Times New Roman"/>
        <family val="1"/>
      </rPr>
      <t xml:space="preserve">    </t>
    </r>
    <r>
      <rPr>
        <sz val="11"/>
        <color theme="1"/>
        <rFont val="Arial"/>
        <family val="2"/>
      </rPr>
      <t>pdf-Datei als Probenbegleitschein. Dieser sollte ausgedruckt und der Kiste mit Proben beigefügt werden</t>
    </r>
  </si>
  <si>
    <t>z.B.:</t>
  </si>
  <si>
    <t>3         typischer Prozess</t>
  </si>
  <si>
    <t>(-beauftragtes Labor</t>
  </si>
  <si>
    <t>-landw. Betrieb</t>
  </si>
  <si>
    <t>- Auftraggeber (falls vom landw. Betrieb abweichend)</t>
  </si>
  <si>
    <t>- Auftragsdetails wie z.B. Fruchtfolge</t>
  </si>
  <si>
    <t>- PN-Details)</t>
  </si>
  <si>
    <t>extrem wichtig: Tütenbarcode – das ist das einzige Erkennungsmerkmal der Probe, die physisch im Labor eintrifft!</t>
  </si>
  <si>
    <t>folgende Dateien werden erzeugt:</t>
  </si>
  <si>
    <r>
      <t>3.2.1</t>
    </r>
    <r>
      <rPr>
        <i/>
        <sz val="7"/>
        <color rgb="FFFF6600"/>
        <rFont val="Times New Roman"/>
        <family val="1"/>
      </rPr>
      <t xml:space="preserve">  </t>
    </r>
    <r>
      <rPr>
        <b/>
        <sz val="11"/>
        <color theme="1"/>
        <rFont val="Arial"/>
        <family val="2"/>
      </rPr>
      <t>csv-Datei</t>
    </r>
    <r>
      <rPr>
        <sz val="11"/>
        <color theme="1"/>
        <rFont val="Arial"/>
        <family val="2"/>
      </rPr>
      <t xml:space="preserve"> – diese wird an Agrolab übermittelt und stellt den eigentlichen digitalen Auftrag dar</t>
    </r>
  </si>
  <si>
    <t>(Bitte übermitteln Sie diese csv-Datei möglichst vor dem Probeneingang an das Labor)</t>
  </si>
  <si>
    <r>
      <t>3.2.2</t>
    </r>
    <r>
      <rPr>
        <sz val="7"/>
        <color theme="1"/>
        <rFont val="Times New Roman"/>
        <family val="1"/>
      </rPr>
      <t xml:space="preserve">  </t>
    </r>
    <r>
      <rPr>
        <b/>
        <sz val="11"/>
        <color theme="1"/>
        <rFont val="Arial"/>
        <family val="2"/>
      </rPr>
      <t>xlsm-Datei</t>
    </r>
    <r>
      <rPr>
        <sz val="11"/>
        <color theme="1"/>
        <rFont val="Arial"/>
        <family val="2"/>
      </rPr>
      <t>: Diese dient dem Auftraggeber als Quittung. Sie kann auch für zukünftige Aufträge als dPBS wiederverwendet werden</t>
    </r>
  </si>
  <si>
    <r>
      <t>3.2.3</t>
    </r>
    <r>
      <rPr>
        <b/>
        <sz val="11"/>
        <color theme="1"/>
        <rFont val="Arial"/>
        <family val="2"/>
      </rPr>
      <t xml:space="preserve"> pdf-Date</t>
    </r>
    <r>
      <rPr>
        <sz val="11"/>
        <color theme="1"/>
        <rFont val="Arial"/>
        <family val="2"/>
      </rPr>
      <t xml:space="preserve">i als Probenbegleitschein. </t>
    </r>
    <r>
      <rPr>
        <i/>
        <sz val="11"/>
        <color rgb="FFFF6600"/>
        <rFont val="Arial"/>
        <family val="2"/>
      </rPr>
      <t>Dieser sollte ausgedruckt und der Kiste mit Proben beigefügt werden</t>
    </r>
  </si>
  <si>
    <r>
      <t xml:space="preserve">            (besonders wichtig: Das </t>
    </r>
    <r>
      <rPr>
        <i/>
        <sz val="11"/>
        <color rgb="FFFF6600"/>
        <rFont val="Arial"/>
        <family val="2"/>
      </rPr>
      <t>Bundesland</t>
    </r>
    <r>
      <rPr>
        <sz val="11"/>
        <color theme="1"/>
        <rFont val="Arial"/>
        <family val="2"/>
      </rPr>
      <t>, aus dem das Labor entnimmt auf welcher Schiene die Proben ins Labor geschleust werden müssen (Extraktionsmethode)</t>
    </r>
  </si>
  <si>
    <t>4        Wiederverwerten alter xlsm-Quittungen für neue Aufträge</t>
  </si>
  <si>
    <r>
      <t xml:space="preserve">Sie können "alte" xlsm-Quittungen nutzen, um neue Untersuchungsaufträge zu erzeugen. Dabei werden nur sehr wenige Einträge aus der alten Quittung gelöscht – Probenahmedatum und Tütenbarcodes. </t>
    </r>
    <r>
      <rPr>
        <i/>
        <sz val="11"/>
        <color rgb="FFFF6600"/>
        <rFont val="Arial"/>
        <family val="2"/>
      </rPr>
      <t>Entsprechend wichtig ist, dass Sie ALLE Daten bei Nutzung dieser Funktion auf Aktualität und Richtigkeit prüfen!</t>
    </r>
  </si>
  <si>
    <t>Speichern Sie noch nicht – das geschieht im nächsten Schritt</t>
  </si>
  <si>
    <t>Starten Sie das orange Makro</t>
  </si>
  <si>
    <t>Es wird im Quittungsordner eine zusätzliche  xlsm-Datei "für Wiederverwertung" erzeugt (,die Sie in der Regel nicht wieder benötigen)</t>
  </si>
  <si>
    <t>Folgen Sie allen Punkten aus Kapitel 3</t>
  </si>
  <si>
    <t>sehr wichtig dabei: Überprüfung der übernommenen Daten in den gelben Arbeitsblättern "Auftragsdaten" und  "Proben"</t>
  </si>
  <si>
    <t>5  weitere Erläuterungen</t>
  </si>
  <si>
    <t>Bei Eingabe der Tütenbarcodes in Arbeitsblatt Tabellen werden folgende Probleme angezeigt:</t>
  </si>
  <si>
    <t>Nutzung</t>
  </si>
  <si>
    <t>Erntereste</t>
  </si>
  <si>
    <t>Kulturen</t>
  </si>
  <si>
    <t>Abkürzung Nutzung</t>
  </si>
  <si>
    <t>Langtext Nutzung</t>
  </si>
  <si>
    <t>Abkürzung Erntereste</t>
  </si>
  <si>
    <t>Langtext Erntereste</t>
  </si>
  <si>
    <t>Prio</t>
  </si>
  <si>
    <t>Sortierung</t>
  </si>
  <si>
    <t>FRUART</t>
  </si>
  <si>
    <t>FRUARTTEXT</t>
  </si>
  <si>
    <t>P2O5</t>
  </si>
  <si>
    <t>K2O</t>
  </si>
  <si>
    <t>ERTRAG</t>
  </si>
  <si>
    <t>P2O5_BRUTTO</t>
  </si>
  <si>
    <t>K2O_BRUTTO</t>
  </si>
  <si>
    <t>A</t>
  </si>
  <si>
    <t>Acker</t>
  </si>
  <si>
    <t>Fruchtarten</t>
  </si>
  <si>
    <t>W</t>
  </si>
  <si>
    <t>Grünland</t>
  </si>
  <si>
    <t>Nein</t>
  </si>
  <si>
    <t>AG</t>
  </si>
  <si>
    <t>Ackergras</t>
  </si>
  <si>
    <t>O</t>
  </si>
  <si>
    <t>Obst</t>
  </si>
  <si>
    <t>AGT</t>
  </si>
  <si>
    <t>Ackergras (TM)</t>
  </si>
  <si>
    <t>R</t>
  </si>
  <si>
    <t>Rebe</t>
  </si>
  <si>
    <t>BLU</t>
  </si>
  <si>
    <t>Blumenkohl</t>
  </si>
  <si>
    <t>H</t>
  </si>
  <si>
    <t>Hopfen</t>
  </si>
  <si>
    <t>DK</t>
  </si>
  <si>
    <t>Dinkel</t>
  </si>
  <si>
    <t>U</t>
  </si>
  <si>
    <t>Übrige</t>
  </si>
  <si>
    <t>DR</t>
  </si>
  <si>
    <t>Durum</t>
  </si>
  <si>
    <t>EB</t>
  </si>
  <si>
    <t>Erbsen (Körner)</t>
  </si>
  <si>
    <t>ERB</t>
  </si>
  <si>
    <t>Erdbeeren</t>
  </si>
  <si>
    <t>AGB akzeptieren</t>
  </si>
  <si>
    <t>Status</t>
  </si>
  <si>
    <t>FES</t>
  </si>
  <si>
    <t>Feldsalat</t>
  </si>
  <si>
    <t>FRG</t>
  </si>
  <si>
    <t>Futterrübe - Gehalt</t>
  </si>
  <si>
    <t>FRM</t>
  </si>
  <si>
    <t>Futterrübe - Masse</t>
  </si>
  <si>
    <t>FRT</t>
  </si>
  <si>
    <t>Futterrübe (TM)</t>
  </si>
  <si>
    <t>Analyseumpfang</t>
  </si>
  <si>
    <t>Auswahl</t>
  </si>
  <si>
    <t>GR1</t>
  </si>
  <si>
    <t>Grünland 1 Nutzung</t>
  </si>
  <si>
    <t>X</t>
  </si>
  <si>
    <t>GR2</t>
  </si>
  <si>
    <t>Grünland 2 Nutzungen</t>
  </si>
  <si>
    <t>Standort</t>
  </si>
  <si>
    <t>Kürzel</t>
  </si>
  <si>
    <t>Nr</t>
  </si>
  <si>
    <t>GR3</t>
  </si>
  <si>
    <t>Grünland 3 Nutzungen</t>
  </si>
  <si>
    <t>Sarstedt</t>
  </si>
  <si>
    <t>KOLD</t>
  </si>
  <si>
    <t>GR4</t>
  </si>
  <si>
    <t>Grünland 4 Nutzungen</t>
  </si>
  <si>
    <t>Leinefelde</t>
  </si>
  <si>
    <t>AAZL</t>
  </si>
  <si>
    <t>Auftrag je Schlag</t>
  </si>
  <si>
    <t>GR5</t>
  </si>
  <si>
    <t>Grünland 5 Nutzungen</t>
  </si>
  <si>
    <t xml:space="preserve"> </t>
  </si>
  <si>
    <t>HA</t>
  </si>
  <si>
    <t>Hafer</t>
  </si>
  <si>
    <t>HF</t>
  </si>
  <si>
    <t>Hanf</t>
  </si>
  <si>
    <t>Extraktion</t>
  </si>
  <si>
    <t>HBE</t>
  </si>
  <si>
    <t>Himbeere</t>
  </si>
  <si>
    <t>JBE</t>
  </si>
  <si>
    <t>Johannisbeere</t>
  </si>
  <si>
    <t>Abkürzung</t>
  </si>
  <si>
    <t>Lang</t>
  </si>
  <si>
    <t>JOK</t>
  </si>
  <si>
    <t>Johanniskraut</t>
  </si>
  <si>
    <t>CAL</t>
  </si>
  <si>
    <t>Calcium-Acetat-Lactat</t>
  </si>
  <si>
    <t>KA</t>
  </si>
  <si>
    <t>Kartoffeln</t>
  </si>
  <si>
    <t>DL</t>
  </si>
  <si>
    <t>Doppel-Lactat</t>
  </si>
  <si>
    <t>KST</t>
  </si>
  <si>
    <t>KEO</t>
  </si>
  <si>
    <t>Kernobst</t>
  </si>
  <si>
    <t>KLV</t>
  </si>
  <si>
    <t>Klee-,Luzerneverm.</t>
  </si>
  <si>
    <t>KGT</t>
  </si>
  <si>
    <t>Kleegras (TM)</t>
  </si>
  <si>
    <t>LUV</t>
  </si>
  <si>
    <t>Klee-Luzerneverm.</t>
  </si>
  <si>
    <t>KLB</t>
  </si>
  <si>
    <t>Kohlrabi</t>
  </si>
  <si>
    <t>KM</t>
  </si>
  <si>
    <t>Körnermais</t>
  </si>
  <si>
    <t>KS</t>
  </si>
  <si>
    <t>Körnersenf</t>
  </si>
  <si>
    <t>LP</t>
  </si>
  <si>
    <t>Lupine</t>
  </si>
  <si>
    <t>LUZ</t>
  </si>
  <si>
    <t>Luzerne</t>
  </si>
  <si>
    <t>Boden schwer Belgien</t>
  </si>
  <si>
    <t>LZT</t>
  </si>
  <si>
    <t>Luzerne (TM)</t>
  </si>
  <si>
    <t>LGT</t>
  </si>
  <si>
    <t>Luzernegras (TM)</t>
  </si>
  <si>
    <t>1MW1</t>
  </si>
  <si>
    <t>Mähweide, 1 Schnitt</t>
  </si>
  <si>
    <t>MW2</t>
  </si>
  <si>
    <t>Mähweide, 2 Schnitte</t>
  </si>
  <si>
    <t>MW3</t>
  </si>
  <si>
    <t>Mähweide, 3 Schnitte</t>
  </si>
  <si>
    <t>MW4</t>
  </si>
  <si>
    <t>Mähweide, 4 Schnitte</t>
  </si>
  <si>
    <t>MWE</t>
  </si>
  <si>
    <t>Mähweide, extensiv</t>
  </si>
  <si>
    <t>MAI</t>
  </si>
  <si>
    <t>Mairübe</t>
  </si>
  <si>
    <t>MOB</t>
  </si>
  <si>
    <t>Möhren, Bund-</t>
  </si>
  <si>
    <t>MOW</t>
  </si>
  <si>
    <t>Möhren, Wasch-</t>
  </si>
  <si>
    <t>LEI</t>
  </si>
  <si>
    <t>Öllein</t>
  </si>
  <si>
    <t>LN</t>
  </si>
  <si>
    <t>Öllein (91 % TS)</t>
  </si>
  <si>
    <t>POR</t>
  </si>
  <si>
    <t>Porree</t>
  </si>
  <si>
    <t>RAD</t>
  </si>
  <si>
    <t>Radies</t>
  </si>
  <si>
    <t>SEL</t>
  </si>
  <si>
    <t>Sellerie</t>
  </si>
  <si>
    <t>SEB</t>
  </si>
  <si>
    <t>Sellerie, Bund-</t>
  </si>
  <si>
    <t>SEK</t>
  </si>
  <si>
    <t>Sellerie, Knollen-</t>
  </si>
  <si>
    <t>SES</t>
  </si>
  <si>
    <t>Sellerie, Stangen-</t>
  </si>
  <si>
    <t>SM</t>
  </si>
  <si>
    <t>Silomais</t>
  </si>
  <si>
    <t>SMT</t>
  </si>
  <si>
    <t>Silomais (TM)</t>
  </si>
  <si>
    <t>SOB</t>
  </si>
  <si>
    <t>Sojabohnen</t>
  </si>
  <si>
    <t>SGB</t>
  </si>
  <si>
    <t>Sommerbraugerste</t>
  </si>
  <si>
    <t>SG</t>
  </si>
  <si>
    <t>Sommergerste (Fut.)</t>
  </si>
  <si>
    <t>RS</t>
  </si>
  <si>
    <t>Sommerraps</t>
  </si>
  <si>
    <t>SR</t>
  </si>
  <si>
    <t>Sommerroggen</t>
  </si>
  <si>
    <t>SW</t>
  </si>
  <si>
    <t>Sommerweizen</t>
  </si>
  <si>
    <t>SB</t>
  </si>
  <si>
    <t>Sonnenblumen</t>
  </si>
  <si>
    <t>SPA</t>
  </si>
  <si>
    <t>Spargel</t>
  </si>
  <si>
    <t>SPAR</t>
  </si>
  <si>
    <t>STO</t>
  </si>
  <si>
    <t>Steinobst</t>
  </si>
  <si>
    <t>TR</t>
  </si>
  <si>
    <t>Triticale</t>
  </si>
  <si>
    <t>WEI</t>
  </si>
  <si>
    <t>Weide</t>
  </si>
  <si>
    <t>WGB</t>
  </si>
  <si>
    <t>Winterbraugerste</t>
  </si>
  <si>
    <t>WWB</t>
  </si>
  <si>
    <t>Winterbrauweizen</t>
  </si>
  <si>
    <t>WG</t>
  </si>
  <si>
    <t>Wintergerste</t>
  </si>
  <si>
    <t>RW</t>
  </si>
  <si>
    <t>Winterraps</t>
  </si>
  <si>
    <t>WR</t>
  </si>
  <si>
    <t>Winterroggen</t>
  </si>
  <si>
    <t>WW</t>
  </si>
  <si>
    <t>Winterweizen</t>
  </si>
  <si>
    <t>ZR</t>
  </si>
  <si>
    <t>Zuckerrüben</t>
  </si>
  <si>
    <t>ZWB</t>
  </si>
  <si>
    <t>Zwiebel, Bund-, früh</t>
  </si>
  <si>
    <t>ZWI</t>
  </si>
  <si>
    <t>Zwiebel, Bund-, wint</t>
  </si>
  <si>
    <t>Blatt</t>
  </si>
  <si>
    <t>Änderung</t>
  </si>
  <si>
    <t>Benutzer</t>
  </si>
  <si>
    <t>auf Version</t>
  </si>
  <si>
    <t>Proben</t>
  </si>
  <si>
    <t>"Wennformel" bei der Nutzungsart eingefügt</t>
  </si>
  <si>
    <t>MS</t>
  </si>
  <si>
    <t>1.02</t>
  </si>
  <si>
    <t>Auftragsdaten</t>
  </si>
  <si>
    <t>AtiveX Kombiboxen in Bereich Fruchtarten einfegügt, dadurch bessere Auswahl und Eingabe</t>
  </si>
  <si>
    <t>Hilfstabellen</t>
  </si>
  <si>
    <t>seperater Bereich für Fruchtarten angelegt (für Kombibox)</t>
  </si>
  <si>
    <t>Changelog</t>
  </si>
  <si>
    <t>Tabellenblatt Changelog eingeführt</t>
  </si>
  <si>
    <t>Z</t>
  </si>
  <si>
    <t>Probenart,BNS</t>
  </si>
  <si>
    <t>Paketdienst-Tracking</t>
  </si>
  <si>
    <t>Speichername</t>
  </si>
  <si>
    <t>lab-interne Info</t>
  </si>
  <si>
    <t>ldw. Betrieb</t>
  </si>
  <si>
    <t>Kundennummer AL</t>
  </si>
  <si>
    <t>Kundennummer Kd</t>
  </si>
  <si>
    <t>Rechnungsnehmer</t>
  </si>
  <si>
    <t>B</t>
  </si>
  <si>
    <t>Kd.Nr. AL</t>
  </si>
  <si>
    <t>Kd.Nr. Kd</t>
  </si>
  <si>
    <t>C</t>
  </si>
  <si>
    <t>Auftragsebene</t>
  </si>
  <si>
    <t>Projekt AL</t>
  </si>
  <si>
    <t>A-Name</t>
  </si>
  <si>
    <t>CAL/DL</t>
  </si>
  <si>
    <t>NICHT-Trocken</t>
  </si>
  <si>
    <t>1 Auftrag/Schlag</t>
  </si>
  <si>
    <t>D</t>
  </si>
  <si>
    <t>E</t>
  </si>
  <si>
    <r>
      <t>Probenehmer</t>
    </r>
    <r>
      <rPr>
        <b/>
        <sz val="11"/>
        <color theme="1"/>
        <rFont val="Calibri"/>
        <family val="2"/>
        <scheme val="minor"/>
      </rPr>
      <t>No.</t>
    </r>
  </si>
  <si>
    <t>WerberNo</t>
  </si>
  <si>
    <t>PN-AuftragsNr</t>
  </si>
  <si>
    <t>Fahrtkosten</t>
  </si>
  <si>
    <t>Fahrtkosten/km</t>
  </si>
  <si>
    <t>AnzahlProben</t>
  </si>
  <si>
    <t>F</t>
  </si>
  <si>
    <t>Frucht1</t>
  </si>
  <si>
    <t>Frucht2</t>
  </si>
  <si>
    <t>Frucht3</t>
  </si>
  <si>
    <t>Frucht4</t>
  </si>
  <si>
    <t>Frucht5</t>
  </si>
  <si>
    <t>Frucht6</t>
  </si>
  <si>
    <t>Frucht7</t>
  </si>
  <si>
    <t>Ertrag1</t>
  </si>
  <si>
    <t>Ertrag2</t>
  </si>
  <si>
    <t>Ertrag3</t>
  </si>
  <si>
    <t>Ertrag4</t>
  </si>
  <si>
    <t>Ertrag5</t>
  </si>
  <si>
    <t>Ertrag6</t>
  </si>
  <si>
    <t>Ertrag7</t>
  </si>
  <si>
    <t>G</t>
  </si>
  <si>
    <t>Proben und Untersuchung</t>
  </si>
  <si>
    <t>Humusklasse</t>
  </si>
  <si>
    <t>Nmin 7900</t>
  </si>
  <si>
    <t>Smin-Zusatz 7901</t>
  </si>
  <si>
    <t>Nmin TP 1:1 7940</t>
  </si>
  <si>
    <t>Smin-Zusatz TP 1:1 7941</t>
  </si>
  <si>
    <t>Nmin TP 1:4 7920</t>
  </si>
  <si>
    <t>Smin-Zusatz TP 1:4 7921</t>
  </si>
  <si>
    <t>DüngEmpf N+S 7990</t>
  </si>
  <si>
    <t>DüngEmpf N 7991</t>
  </si>
  <si>
    <t>s. Codeliste 1</t>
  </si>
  <si>
    <t>s. Codeliste2</t>
  </si>
  <si>
    <t>PN-Bodenart</t>
  </si>
  <si>
    <t xml:space="preserve"> LOT. ACKERZAHL</t>
  </si>
  <si>
    <t xml:space="preserve"> LOT. BARCODE</t>
  </si>
  <si>
    <t xml:space="preserve"> LOT. BODENKLIMARAUM</t>
  </si>
  <si>
    <t xml:space="preserve"> LOT. BODENZAHL  (Gesetzt auf NULL)</t>
  </si>
  <si>
    <t xml:space="preserve"> LOT. ENTSTEHUNG</t>
  </si>
  <si>
    <t xml:space="preserve"> LOT. FELDBLOCK</t>
  </si>
  <si>
    <t xml:space="preserve"> LOT. FID</t>
  </si>
  <si>
    <t xml:space="preserve"> LOT. HOEHENN</t>
  </si>
  <si>
    <t xml:space="preserve"> LOT. WASSERSCHUTZGEBIET</t>
  </si>
  <si>
    <t>LOT_ORDER.NUTZUNG</t>
  </si>
  <si>
    <t>LOT_ORDER.DURCHWURZELUNGSTIEFE</t>
  </si>
  <si>
    <t>LOT_ORDER.GUELLE</t>
  </si>
  <si>
    <t>LOT_ORDER.HUMUSSTUFE</t>
  </si>
  <si>
    <t>LOT_ORDER.SCHLAG_ZUSATZ</t>
  </si>
  <si>
    <t>PNSTELLE_BODEN.FLURNR</t>
  </si>
  <si>
    <t>PNSTELLE_BODEN.FLURST</t>
  </si>
  <si>
    <t>PNSTELLE_BODEN.GEMARKUNG</t>
  </si>
  <si>
    <t>PNSTELLE_BODEN.GPS_HWERT</t>
  </si>
  <si>
    <t>PNSTELLE_BODEN.GPS_RWERT</t>
  </si>
  <si>
    <t>PNSTELLE_BODEN.GPSNR</t>
  </si>
  <si>
    <t>PNSTELLE_BODEN.LFDNR</t>
  </si>
  <si>
    <t>PNSTELLE_BODEN.SCHLAGNR2</t>
  </si>
  <si>
    <t>PROBE_BODEN.ANALYART_ERFASSUNG</t>
  </si>
  <si>
    <t>PROBE_BODEN.BODARTCOD</t>
  </si>
  <si>
    <t>PROBE_BODEN.BODTYP</t>
  </si>
  <si>
    <t>PROBE_BODEN.PNTIEFE</t>
  </si>
  <si>
    <t>PROBE_BODEN.PNTIEFE_CM</t>
  </si>
  <si>
    <t>PROBE_BODEN.PNTIEFE_CM_VON</t>
  </si>
  <si>
    <t>PROBE_BODEN.PROBENR</t>
  </si>
  <si>
    <t>PROBE_BODEN.S_ERW</t>
  </si>
  <si>
    <t>PROBE_BODEN.SCHICHT</t>
  </si>
  <si>
    <t>PROBE_BODEN.STEINGEHALT</t>
  </si>
  <si>
    <t>Erhebwert_N1</t>
  </si>
  <si>
    <t>Erhebwert_N2</t>
  </si>
  <si>
    <t>Erhebwert_N3</t>
  </si>
  <si>
    <t>Erhebwert_N4</t>
  </si>
  <si>
    <t>Analysepaket_Probe</t>
  </si>
  <si>
    <t>Preis_Probe</t>
  </si>
  <si>
    <t>arrival date</t>
  </si>
  <si>
    <t>ERHEBDATEN.ZU_ANALYSENUMFANG (C1)</t>
  </si>
  <si>
    <t>ERHEBDATEN.PROBENSPEZ_1 (C4)</t>
  </si>
  <si>
    <t>ERHEBDATEN.PROBENSPEZ_2 (C5)</t>
  </si>
  <si>
    <t>ERHEBDATEN.PROBENSPEZ_3 (WertC1)</t>
  </si>
  <si>
    <t>EXTRA_N1
(N1)</t>
  </si>
  <si>
    <t>BODENART_KUNDE
(N2)</t>
  </si>
  <si>
    <t>HUMUSKLASSE_KUNDE (N3)</t>
  </si>
  <si>
    <t>BODENGRUPPE_KUNDE (N4)</t>
  </si>
  <si>
    <t>LOT_ATTRIBUTE.ACKER_ZAHL</t>
  </si>
  <si>
    <t>LOT_ATTRIBUTE.BBART1</t>
  </si>
  <si>
    <t>LOT_ATTRIBUTE.BBART2</t>
  </si>
  <si>
    <t>LOT_ATTRIBUTE.BBART3</t>
  </si>
  <si>
    <t>LOT_ATTRIBUTE.BBART4</t>
  </si>
  <si>
    <t>LOT_ATTRIBUTE.BBDATUM1</t>
  </si>
  <si>
    <t>LOT_ATTRIBUTE.BBDATUM2</t>
  </si>
  <si>
    <t>LOT_ATTRIBUTE.BBDATUM3</t>
  </si>
  <si>
    <t>LOT_ATTRIBUTE.BBDATUM4</t>
  </si>
  <si>
    <t>LOT_ATTRIBUTE.BEFU_SCHLAGNR</t>
  </si>
  <si>
    <t>LOT_ATTRIBUTE.BODENTIEFE</t>
  </si>
  <si>
    <t>LOT_ATTRIBUTE.DIRSAAT</t>
  </si>
  <si>
    <t>LOT_ATTRIBUTE.FOLGEFRUCHT</t>
  </si>
  <si>
    <t>LOT_ATTRIBUTE.GR_BODENW</t>
  </si>
  <si>
    <t>LOT_ATTRIBUTE.GR_TYP</t>
  </si>
  <si>
    <t>LOT_ATTRIBUTE.GRDUENG</t>
  </si>
  <si>
    <t>LOT_ATTRIBUTE.HALMSTAB</t>
  </si>
  <si>
    <t>LOT_ATTRIBUTE.LANGJ_NS</t>
  </si>
  <si>
    <t>LOT_ATTRIBUTE.LOT_INFO</t>
  </si>
  <si>
    <t>LOT_ATTRIBUTE.MDHERBST</t>
  </si>
  <si>
    <t>LOT_ATTRIBUTE.N_MIN_BIS</t>
  </si>
  <si>
    <t>LOT_ATTRIBUTE.OEKOANB</t>
  </si>
  <si>
    <t>LOT_ATTRIBUTE.PRODZIEL</t>
  </si>
  <si>
    <t>LOT_ATTRIBUTE.QUALGABE</t>
  </si>
  <si>
    <t>LOT_ATTRIBUTE.SAATTERMIN</t>
  </si>
  <si>
    <t>LOT_ATTRIBUTE.STEINE</t>
  </si>
  <si>
    <t>LOT_ATTRIBUTE.TIERART</t>
  </si>
  <si>
    <t>LOT_ATTRIBUTE.VANBAU</t>
  </si>
  <si>
    <t>LOT_ATTRIBUTE.VIEHBESATZ</t>
  </si>
  <si>
    <t>LOT_ATTRIBUTE.VIEHLOS</t>
  </si>
  <si>
    <t>LOT_ATTRIBUTE.WDGV1</t>
  </si>
  <si>
    <t>LOT_ATTRIBUTE.WDLJ</t>
  </si>
  <si>
    <t>LOT_ATTRIBUTE.WDTS1</t>
  </si>
  <si>
    <t>LOT_ATTRIBUTE.WDTS2</t>
  </si>
  <si>
    <t>LOT_CROP.ABFUHR_GANZE_PFLANZE</t>
  </si>
  <si>
    <t>LOT_CROP.ABGEFROREN</t>
  </si>
  <si>
    <t>LOT_CROP.ANBAU_DATUM+PC</t>
  </si>
  <si>
    <t>LOT_CROP.ANBAU_DATUM</t>
  </si>
  <si>
    <t>LOT_CROP.BEREGNUNG</t>
  </si>
  <si>
    <t>LOT_CROP.BESTANDSENTWICKLUNG</t>
  </si>
  <si>
    <t>LOT_CROP.BESTELLUNG</t>
  </si>
  <si>
    <t>LOT_CROP.BODENABDECKUNG</t>
  </si>
  <si>
    <t>LOT_CROP.BRACHE+PC</t>
  </si>
  <si>
    <t>LOT_CROP.BRACHE</t>
  </si>
  <si>
    <t>LOT_CROP.EC</t>
  </si>
  <si>
    <t>LOT_CROP.EINARBEITUNG</t>
  </si>
  <si>
    <t>LOT_CROP.ERNTEJAHR</t>
  </si>
  <si>
    <t>LOT_CROP.ERTRAGSNIVEAU</t>
  </si>
  <si>
    <t>LOT_CROP.ERTRAGSZIEL</t>
  </si>
  <si>
    <t>LOT_CROP.ERTRAGSZIEL+PC</t>
  </si>
  <si>
    <t>LOT_CROP.FRUCHT_ART+PC</t>
  </si>
  <si>
    <t>LOT_CROP.FRUCHT_ART</t>
  </si>
  <si>
    <t>LOT_CROP.KARTOFFEL_GRUPPE</t>
  </si>
  <si>
    <t>LOT_CROP.LEGUMINOSEN</t>
  </si>
  <si>
    <t>LOT_CROP.LEGUMINOSEN_ANTEIL</t>
  </si>
  <si>
    <t>LOT_CROP.MIT_NUTZUNG</t>
  </si>
  <si>
    <t>LOT_CROP.RAPS_BLATTVERLUSTE</t>
  </si>
  <si>
    <t>LOT_CROP.RAPS_SPROSSFRISCHMASSE</t>
  </si>
  <si>
    <t>LOT_CROP.RAPS_WURZELHALSDURCHME</t>
  </si>
  <si>
    <t>LOT_CROP.ROHPROTEIN_GEHALT</t>
  </si>
  <si>
    <t>LOT_CROP.ROTES_GEBIET</t>
  </si>
  <si>
    <t>LOT_CROP.SCHNITT_ANZAHL</t>
  </si>
  <si>
    <t>LOT_CROP.SORTE</t>
  </si>
  <si>
    <t>LOT_CROP.VEGETATIONSBEGINN</t>
  </si>
  <si>
    <t>LOT_CROP.VERWENDUNG</t>
  </si>
  <si>
    <t>LOT_CROP.WEIDE_ANTEIL</t>
  </si>
  <si>
    <t>LOT_CROP.ZWFRUCHT</t>
  </si>
  <si>
    <t>LOT_CROP.ZWFRUEIN</t>
  </si>
  <si>
    <t>LOT_CROP.ZWFRUEINDAT</t>
  </si>
  <si>
    <t>LOT_FERTILIZERS.DUENGER_ART_1</t>
  </si>
  <si>
    <t>LOT_FERTILIZERS.DUENGE_DATUM_1</t>
  </si>
  <si>
    <t>LOT_FERTILIZERS.DUENGER_MENGE_1</t>
  </si>
  <si>
    <t>LOT_FERTILIZERS.STICKSTOFFGEHALT_1</t>
  </si>
  <si>
    <t>LOT_FERTILIZERS.STABIL_NDUENGER_1</t>
  </si>
  <si>
    <t>LOT_FERTILIZERS.DUENGER_ART_2</t>
  </si>
  <si>
    <t>LOT_FERTILIZERS.DUENGE_DATUM_2</t>
  </si>
  <si>
    <t>LOT_FERTILIZERS.DUENGER_MENGE_2</t>
  </si>
  <si>
    <t>LOT_FERTILIZERS.STICKSTOFFGEHALT_2</t>
  </si>
  <si>
    <t>LOT_FERTILIZERS.STABIL_NDUENGER_2</t>
  </si>
  <si>
    <t>LOT_FERTILIZERS.DUENGER_ART_3</t>
  </si>
  <si>
    <t>LOT_FERTILIZERS.DUENGE_DATUM_3</t>
  </si>
  <si>
    <t>LOT_FERTILIZERS.DUENGER_MENGE_3</t>
  </si>
  <si>
    <t>LOT_FERTILIZERS.STICKSTOFFGEHALT_3</t>
  </si>
  <si>
    <t>LOT_FERTILIZERS.STABIL_NDUENGER_3</t>
  </si>
  <si>
    <t>LOT_FERTILIZERS.DUENGER_ART_4</t>
  </si>
  <si>
    <t>LOT_FERTILIZERS.DUENGE_DATUM_4</t>
  </si>
  <si>
    <t>LOT_FERTILIZERS.DUENGER_MENGE_4</t>
  </si>
  <si>
    <t>LOT_FERTILIZERS.STICKSTOFFGEHALT_4</t>
  </si>
  <si>
    <t>LOT_FERTILIZERS.STABIL_NDUENGER_4</t>
  </si>
  <si>
    <t>LOT_FERTILIZERS.DUENGER_ART_5</t>
  </si>
  <si>
    <t>LOT_FERTILIZERS.DUENGE_DATUM_5</t>
  </si>
  <si>
    <t>LOT_FERTILIZERS.DUENGER_MENGE_5</t>
  </si>
  <si>
    <t>LOT_FERTILIZERS.STICKSTOFFGEHALT_5</t>
  </si>
  <si>
    <t>LOT_FERTILIZERS.STABIL_NDUENGER_5</t>
  </si>
  <si>
    <t xml:space="preserve">LF.gm_zf_abgefroren1         </t>
  </si>
  <si>
    <t xml:space="preserve">LF.gm_zf_abgefroren2         </t>
  </si>
  <si>
    <t xml:space="preserve">LF.gm_abgefroren1            </t>
  </si>
  <si>
    <t xml:space="preserve">LF.gm_abgefroren2            </t>
  </si>
  <si>
    <t>LF.STICKSTOFF_GESAMT</t>
  </si>
  <si>
    <t>LEER</t>
  </si>
  <si>
    <t>FB31</t>
  </si>
  <si>
    <t>FID31</t>
  </si>
  <si>
    <t>j</t>
  </si>
  <si>
    <t>n</t>
  </si>
  <si>
    <t>LO-ZUS310</t>
  </si>
  <si>
    <t>F31</t>
  </si>
  <si>
    <t>FS31</t>
  </si>
  <si>
    <t>G31</t>
  </si>
  <si>
    <t>ERF01</t>
  </si>
  <si>
    <t>PRNR310</t>
  </si>
  <si>
    <t>PB_SERW310</t>
  </si>
  <si>
    <t>Zusatzinfo Analyse 1</t>
  </si>
  <si>
    <t>P-Spez1-1</t>
  </si>
  <si>
    <t>P-Spez2-1</t>
  </si>
  <si>
    <t>P-Spez3-1</t>
  </si>
  <si>
    <t>Zusatzinfo Lot</t>
  </si>
  <si>
    <t>Win</t>
  </si>
  <si>
    <t>pfl</t>
  </si>
  <si>
    <t>1SG</t>
  </si>
  <si>
    <t>Sorte1</t>
  </si>
  <si>
    <t>KEB</t>
  </si>
  <si>
    <t>ZFaha</t>
  </si>
  <si>
    <t>LIMS-Ziel-Feld</t>
  </si>
  <si>
    <r>
      <t>pnstelle_boden</t>
    </r>
    <r>
      <rPr>
        <sz val="10"/>
        <color rgb="FF080808"/>
        <rFont val="JetBrains Mono"/>
        <family val="3"/>
      </rPr>
      <t>.</t>
    </r>
    <r>
      <rPr>
        <sz val="10"/>
        <color rgb="FF871094"/>
        <rFont val="JetBrains Mono"/>
        <family val="3"/>
      </rPr>
      <t>gpsnr</t>
    </r>
  </si>
  <si>
    <t>lot.schlagname</t>
  </si>
  <si>
    <r>
      <t>probe_boden</t>
    </r>
    <r>
      <rPr>
        <sz val="10"/>
        <color rgb="FF080808"/>
        <rFont val="JetBrains Mono"/>
        <family val="3"/>
      </rPr>
      <t>.</t>
    </r>
    <r>
      <rPr>
        <sz val="10"/>
        <color rgb="FF871094"/>
        <rFont val="JetBrains Mono"/>
        <family val="3"/>
      </rPr>
      <t>s_erw</t>
    </r>
  </si>
  <si>
    <t>lot.groesse</t>
  </si>
  <si>
    <r>
      <t>pnstelle_boden</t>
    </r>
    <r>
      <rPr>
        <sz val="10"/>
        <color rgb="FF0000FF"/>
        <rFont val="JetBrains Mono"/>
        <family val="3"/>
      </rPr>
      <t>.probflaeche</t>
    </r>
  </si>
  <si>
    <t>lot_order.nutzung</t>
  </si>
  <si>
    <t>ERHBDAT_C5</t>
  </si>
  <si>
    <t>erh_erhebdaten_label_var.value   mit erh_erhebdaten_label_var.label = 'SOIL_TYPE_ST'</t>
  </si>
  <si>
    <t>lot.ackerzahl</t>
  </si>
  <si>
    <t>lot.BodenKlimaRaum</t>
  </si>
  <si>
    <t>lot.entstehung</t>
  </si>
  <si>
    <t>lot.feldblock</t>
  </si>
  <si>
    <t>lot.fid</t>
  </si>
  <si>
    <t>lot.hoehenn</t>
  </si>
  <si>
    <t>lot.wasserschutzgebiet</t>
  </si>
  <si>
    <t>lot_order.durchwurzelungstiefe</t>
  </si>
  <si>
    <t>lot_order.guelle</t>
  </si>
  <si>
    <t>lot_order.humusstufe</t>
  </si>
  <si>
    <t>lot_order.schlag_zusatz</t>
  </si>
  <si>
    <r>
      <t>pnstelle_boden</t>
    </r>
    <r>
      <rPr>
        <sz val="10"/>
        <color rgb="FF0000FF"/>
        <rFont val="JetBrains Mono"/>
        <family val="3"/>
      </rPr>
      <t>.flurnr</t>
    </r>
  </si>
  <si>
    <r>
      <t>pnstelle_boden</t>
    </r>
    <r>
      <rPr>
        <sz val="10"/>
        <color rgb="FF0000FF"/>
        <rFont val="JetBrains Mono"/>
        <family val="3"/>
      </rPr>
      <t>.flurst</t>
    </r>
  </si>
  <si>
    <r>
      <t>pnstelle_boden</t>
    </r>
    <r>
      <rPr>
        <sz val="10"/>
        <color rgb="FF0000FF"/>
        <rFont val="JetBrains Mono"/>
        <family val="3"/>
      </rPr>
      <t>.gemarkung</t>
    </r>
  </si>
  <si>
    <r>
      <t>pnstelle_boden</t>
    </r>
    <r>
      <rPr>
        <sz val="10"/>
        <color rgb="FF0000FF"/>
        <rFont val="JetBrains Mono"/>
        <family val="3"/>
      </rPr>
      <t>.gps_hwert</t>
    </r>
  </si>
  <si>
    <r>
      <t>pnstelle_boden</t>
    </r>
    <r>
      <rPr>
        <sz val="10"/>
        <color rgb="FF0000FF"/>
        <rFont val="JetBrains Mono"/>
        <family val="3"/>
      </rPr>
      <t>.gps_rwert</t>
    </r>
  </si>
  <si>
    <t>pnstelle_boden.gpsnr</t>
  </si>
  <si>
    <r>
      <t>pnstelle_boden</t>
    </r>
    <r>
      <rPr>
        <sz val="10"/>
        <color rgb="FF0000FF"/>
        <rFont val="JetBrains Mono"/>
        <family val="3"/>
      </rPr>
      <t>.lfdnr</t>
    </r>
  </si>
  <si>
    <r>
      <t>pnstelle_boden</t>
    </r>
    <r>
      <rPr>
        <sz val="10"/>
        <color rgb="FF0000FF"/>
        <rFont val="JetBrains Mono"/>
        <family val="3"/>
      </rPr>
      <t>.schlagnr2</t>
    </r>
  </si>
  <si>
    <r>
      <t>probe_boden</t>
    </r>
    <r>
      <rPr>
        <sz val="10"/>
        <color rgb="FF0000FF"/>
        <rFont val="JetBrains Mono"/>
        <family val="3"/>
      </rPr>
      <t>.analyart_erfassung</t>
    </r>
  </si>
  <si>
    <t>probe_boden.bodartcod</t>
  </si>
  <si>
    <t>probe_boden.bodtyp</t>
  </si>
  <si>
    <t xml:space="preserve">probe_boden.pntiefe </t>
  </si>
  <si>
    <t>probe_boden.pntiefe_cm</t>
  </si>
  <si>
    <t>probe_boden.pntiefe_cm_vo</t>
  </si>
  <si>
    <t>probe_boden.probenr</t>
  </si>
  <si>
    <r>
      <t>probe_boden</t>
    </r>
    <r>
      <rPr>
        <sz val="10"/>
        <color rgb="FF0000FF"/>
        <rFont val="JetBrains Mono"/>
        <family val="3"/>
      </rPr>
      <t>.s_erw</t>
    </r>
  </si>
  <si>
    <t xml:space="preserve">probe_boden.schicht </t>
  </si>
  <si>
    <t>probe_boden.steingehalt</t>
  </si>
  <si>
    <t>erhebdaten.erhebwert_n1</t>
  </si>
  <si>
    <t>erhebdaten.erhebwert_n2</t>
  </si>
  <si>
    <t>erhebdaten.erhebwert_n3</t>
  </si>
  <si>
    <t>erhebdaten.erhebwert_n4</t>
  </si>
  <si>
    <t>erhebdaten.paketnr</t>
  </si>
  <si>
    <t>erhebdaten.preis</t>
  </si>
  <si>
    <t>erhebdaten.sample_arrival_date</t>
  </si>
  <si>
    <t>erhebdaten.erhebdat_C1</t>
  </si>
  <si>
    <t>erhebdaten.erhebdat_C4</t>
  </si>
  <si>
    <t>erhebdaten.erhebdat_C5</t>
  </si>
  <si>
    <t>erhebdaten.erhebwert_C1</t>
  </si>
  <si>
    <t>erhebdaten.erhebdat_N1</t>
  </si>
  <si>
    <t>erhebdaten.erhebdat_N2</t>
  </si>
  <si>
    <t>erhebdaten.erhebdat_N3</t>
  </si>
  <si>
    <t>erhebdaten.erhebdat_N4</t>
  </si>
  <si>
    <t>lot_attribute.Acker_Zahl</t>
  </si>
  <si>
    <t>lot_attribute.bbart1</t>
  </si>
  <si>
    <t>lot_attribute.bbart2</t>
  </si>
  <si>
    <t>lot_attribute.bbart3</t>
  </si>
  <si>
    <t>lot_attribute.bbart4</t>
  </si>
  <si>
    <t>lot_attribute.bbdatum1</t>
  </si>
  <si>
    <t>lot_attribute.bbdatum2</t>
  </si>
  <si>
    <t>lot_attribute.bbdatum3</t>
  </si>
  <si>
    <t>lot_attribute.bbdatum4</t>
  </si>
  <si>
    <t>lot_attribute.befu_schlagnr</t>
  </si>
  <si>
    <t>lot_attribute.bodentiefe</t>
  </si>
  <si>
    <t>lot_attribute.dirsaat</t>
  </si>
  <si>
    <t>lot_attribute.folgefrucht</t>
  </si>
  <si>
    <t>lot_attribute.gr_bodenw</t>
  </si>
  <si>
    <t>lot_attribute.gr_typ</t>
  </si>
  <si>
    <t>lot_attribute.grdueng</t>
  </si>
  <si>
    <t>lot_attribute.halmstab</t>
  </si>
  <si>
    <t>lot_attribute.langj_ns</t>
  </si>
  <si>
    <t>lot_attribute.lot_info</t>
  </si>
  <si>
    <t>lot_attribute.mdherbst</t>
  </si>
  <si>
    <t>lot_attribute.n_min_bis</t>
  </si>
  <si>
    <t>lot_attribute.oekoanb</t>
  </si>
  <si>
    <t>lot_attribute.prodziel</t>
  </si>
  <si>
    <t>lot_attribute.qualgabe</t>
  </si>
  <si>
    <t>lot_attribute.saattermin</t>
  </si>
  <si>
    <t>lot_attribute.steine</t>
  </si>
  <si>
    <t>lot_attribute.tierart</t>
  </si>
  <si>
    <t>lot_attribute.vanbau</t>
  </si>
  <si>
    <t>lot_attribute.viehbesatz</t>
  </si>
  <si>
    <t>lot_attribute.viehlos</t>
  </si>
  <si>
    <t>lot_attribute.wdgv1</t>
  </si>
  <si>
    <t>lot_attribute.wdlj</t>
  </si>
  <si>
    <t>lot_attribute.wdts1</t>
  </si>
  <si>
    <t>lot_attribute.wdts2</t>
  </si>
  <si>
    <t>lot_crop.abfuhr_ganze_pflanze</t>
  </si>
  <si>
    <t>Lot_crop.abgefroren</t>
  </si>
  <si>
    <t>lot_crop.anbau_datum</t>
  </si>
  <si>
    <t>lot_crop.beregnung</t>
  </si>
  <si>
    <t>lot_crop.bestandsentwicklung</t>
  </si>
  <si>
    <t>lot_crop.bestellung</t>
  </si>
  <si>
    <t>lot_crop.bodenabdeckung</t>
  </si>
  <si>
    <t>lot_crop.brache</t>
  </si>
  <si>
    <t>lot_crop.ec</t>
  </si>
  <si>
    <t>lot_crop.einarbeitung</t>
  </si>
  <si>
    <t>lot_crop.Abfuhr_ganze_Pflanze</t>
  </si>
  <si>
    <t>lot_crop.erntejahr</t>
  </si>
  <si>
    <t>lot_crop.ErtragsNiveau</t>
  </si>
  <si>
    <t>lot_crop.ertragsziel</t>
  </si>
  <si>
    <t>lot_crop.frucht_art</t>
  </si>
  <si>
    <t>lot_crop.kartoffel_gruppe</t>
  </si>
  <si>
    <t>lot_crop.leguminosen</t>
  </si>
  <si>
    <t>lot_crop.leguminosen_anteil</t>
  </si>
  <si>
    <t>lot_crop.mit_nutzung</t>
  </si>
  <si>
    <t>lot_crop.raps_blattverluste</t>
  </si>
  <si>
    <t>lot_crop.raps_sprossfrischmasse</t>
  </si>
  <si>
    <t>lot_crop.raps_wurzelhalsdurchme</t>
  </si>
  <si>
    <t>lot_crop.rohprotein_gehalt</t>
  </si>
  <si>
    <t>lot_crop.rotes_gebiet</t>
  </si>
  <si>
    <t>lot_crop.schnitt_anzahl</t>
  </si>
  <si>
    <t>lot_crop.sorte</t>
  </si>
  <si>
    <t>lot_crop.vegetationsbeginn</t>
  </si>
  <si>
    <t>lot_crop.verwendung</t>
  </si>
  <si>
    <t>lot_crop.weide_anteil</t>
  </si>
  <si>
    <t>lot_crop.zwfrucht</t>
  </si>
  <si>
    <t>lot_crop.zwfruein</t>
  </si>
  <si>
    <t>lot_crop.zwfrueindat</t>
  </si>
  <si>
    <t>lot_fertilizer.duenger_art</t>
  </si>
  <si>
    <t>lot_fertilizer.duenge_datum</t>
  </si>
  <si>
    <t>lot_fertilizer.duenger_menge</t>
  </si>
  <si>
    <t>lot_fertilizer.stickstoff_gesamt</t>
  </si>
  <si>
    <t>lot_fertilizer.stabil_nduenger</t>
  </si>
  <si>
    <t>lot_fertilizer.abgefroren</t>
  </si>
  <si>
    <t>in LOBSTER-test7 enthalten</t>
  </si>
  <si>
    <t>ja</t>
  </si>
  <si>
    <t>wird auf Null gesetzt - kein service</t>
  </si>
  <si>
    <t>s. auch PBS</t>
  </si>
  <si>
    <t>LIMS-Feldtyp</t>
  </si>
  <si>
    <t>NUMBER</t>
  </si>
  <si>
    <t>VARCHAR2 ( 20 )</t>
  </si>
  <si>
    <t xml:space="preserve">VARCHAR2(15)         </t>
  </si>
  <si>
    <t>NUMBER ( 7,4 )</t>
  </si>
  <si>
    <t>NUMBER (7,4)</t>
  </si>
  <si>
    <t>VARCHAR ( 2 )</t>
  </si>
  <si>
    <t>VARCHAR2(50 char)</t>
  </si>
  <si>
    <t>NUMBER ( 2 )</t>
  </si>
  <si>
    <t>NUMBER ( 3 )</t>
  </si>
  <si>
    <t>VARCHAR2 ( 16 )</t>
  </si>
  <si>
    <t>VARCHAR2 ( 1 )</t>
  </si>
  <si>
    <t xml:space="preserve">NUMBER ( 3,0 ) </t>
  </si>
  <si>
    <t>NUMBER ( 2,0 )</t>
  </si>
  <si>
    <t>VARCHAR2 (20)</t>
  </si>
  <si>
    <t>VARCHAR2 (50)</t>
  </si>
  <si>
    <t>NUMBER (7,2)</t>
  </si>
  <si>
    <t>NUMBER(9)</t>
  </si>
  <si>
    <t>NUMBER(15)</t>
  </si>
  <si>
    <t>VARCHAR(10)</t>
  </si>
  <si>
    <t>NUMBER(1)</t>
  </si>
  <si>
    <t>NUMBER(2)</t>
  </si>
  <si>
    <t>NUMBER(4)</t>
  </si>
  <si>
    <t>VARCHAR2(6 CHAR)</t>
  </si>
  <si>
    <t>NUMBER(15, 2)</t>
  </si>
  <si>
    <t>NUMBER(5)</t>
  </si>
  <si>
    <t xml:space="preserve"> NUMBER(8, 2)</t>
  </si>
  <si>
    <t>DATE</t>
  </si>
  <si>
    <t>VARCHAR2(30 char)</t>
  </si>
  <si>
    <t>NUMBER(18)</t>
  </si>
  <si>
    <t>NUMBER(3)</t>
  </si>
  <si>
    <t>NUMBER(9,4)</t>
  </si>
  <si>
    <t>VARCHAR2(1)</t>
  </si>
  <si>
    <t>VARCHAR2(3)</t>
  </si>
  <si>
    <t>VARCHAR2(2000)</t>
  </si>
  <si>
    <t>VARCHAR2(5)</t>
  </si>
  <si>
    <t>NUMBER(3,1)</t>
  </si>
  <si>
    <t>NUMBER ( 1 )</t>
  </si>
  <si>
    <t xml:space="preserve">NUMBER ( 1 )   </t>
  </si>
  <si>
    <t xml:space="preserve">VARCHAR2 ( 3 )   </t>
  </si>
  <si>
    <t xml:space="preserve">NUMBER ( 1 ) </t>
  </si>
  <si>
    <t xml:space="preserve">VARCHAR2 ( 1 ) </t>
  </si>
  <si>
    <t xml:space="preserve">NUMBER ( 2 ) </t>
  </si>
  <si>
    <t xml:space="preserve">?
NUMBER ( 1 )     </t>
  </si>
  <si>
    <t>NUMBER ( 4 )</t>
  </si>
  <si>
    <t xml:space="preserve">VARCHAR2 ( 4 ) </t>
  </si>
  <si>
    <t>NUMBER ( 4,1 )</t>
  </si>
  <si>
    <t xml:space="preserve">NUMBER ( 1 )    </t>
  </si>
  <si>
    <t>NUMBER ( 2,1 )</t>
  </si>
  <si>
    <t>VARCHAR2 ( 10 )</t>
  </si>
  <si>
    <t xml:space="preserve">NUMBER ( 2,0 )  </t>
  </si>
  <si>
    <t xml:space="preserve">NUMBER ( 4,1 ) </t>
  </si>
  <si>
    <t>VARCHAR2 ( 3 )</t>
  </si>
  <si>
    <t xml:space="preserve">VARCHAR2 ( 1 )   </t>
  </si>
  <si>
    <t>VARCHAR2 ( 5 )</t>
  </si>
  <si>
    <t xml:space="preserve">NUMBER ( 3 ) </t>
  </si>
  <si>
    <t>NUMBER ( 3,1 )</t>
  </si>
  <si>
    <t>label</t>
  </si>
  <si>
    <t>GPS_NO</t>
  </si>
  <si>
    <t>LOT_SCHLAGNR I</t>
  </si>
  <si>
    <t>LOT_NAME</t>
  </si>
  <si>
    <t>LOT_ADD_ON</t>
  </si>
  <si>
    <t>LOT_SCHLAGNR II</t>
  </si>
  <si>
    <t>LOT_SIZE_HA</t>
  </si>
  <si>
    <t>SAMPLE_SIZE_HA</t>
  </si>
  <si>
    <t>LAND_USAGE</t>
  </si>
  <si>
    <t>SOIL_TYPE_ST</t>
  </si>
  <si>
    <t>LOT_SOIL_FERTILITY</t>
  </si>
  <si>
    <t>LOT_BARCODE</t>
  </si>
  <si>
    <t>LOT_SOIL_CLIMATE</t>
  </si>
  <si>
    <t>es gibt kein label</t>
  </si>
  <si>
    <t>SAMPLE_NO_2</t>
  </si>
  <si>
    <t>LOT_FIELDBLOCK</t>
  </si>
  <si>
    <t>LOT_FID</t>
  </si>
  <si>
    <t>LOT_HEIGHT</t>
  </si>
  <si>
    <t>WATER_PROTECTION_AREA</t>
  </si>
  <si>
    <t>LO_ROOTING_DEPTH</t>
  </si>
  <si>
    <t>LO_SLURRY</t>
  </si>
  <si>
    <t>LO_ORG_SUBS_CLASS</t>
  </si>
  <si>
    <t>LO_LOT_ADD_ON</t>
  </si>
  <si>
    <t>FARMLAND_NUMBER</t>
  </si>
  <si>
    <t>FARMLAND_PARCEL</t>
  </si>
  <si>
    <t>FARMLAND_DISTRICT</t>
  </si>
  <si>
    <t>GPS_H</t>
  </si>
  <si>
    <t>GPS_R</t>
  </si>
  <si>
    <t>FARMLAND_SAMPLE_NO</t>
  </si>
  <si>
    <t>SAMPLE_TYPE_REG</t>
  </si>
  <si>
    <t>SOIL_TYPE_CUSTOMER</t>
  </si>
  <si>
    <t>ORG_SUBS_CLASS_CUSTOMER</t>
  </si>
  <si>
    <t>SAMPLING_DEPTH_CLASS</t>
  </si>
  <si>
    <t>SAMPLING_DEPTH_CM</t>
  </si>
  <si>
    <t>SAMPLING_DEPTH_TOP_CM</t>
  </si>
  <si>
    <t>Y_BRACKET</t>
  </si>
  <si>
    <t>SOIL_LAYER</t>
  </si>
  <si>
    <t>STONE_CONTENT</t>
  </si>
  <si>
    <t>ERHEBWERT_N1</t>
  </si>
  <si>
    <t>ERHEBWERT_N2</t>
  </si>
  <si>
    <t>ERHEBWERT_N3</t>
  </si>
  <si>
    <t>ERHEBWERT_N4</t>
  </si>
  <si>
    <t>ANALYTIC_PACKAGE</t>
  </si>
  <si>
    <t>PRICE</t>
  </si>
  <si>
    <t>LA_LOT_INFO</t>
  </si>
  <si>
    <t>ZU_ANALYSENUMFANG</t>
  </si>
  <si>
    <t>PROBENSPEZ_1</t>
  </si>
  <si>
    <t>PROBENSPEZ_2</t>
  </si>
  <si>
    <t>PROBENSPEZ_3</t>
  </si>
  <si>
    <t>EXTRA_N1</t>
  </si>
  <si>
    <t>BODENART_KUNDE</t>
  </si>
  <si>
    <t>HUMUSKLASSE_KUNDE</t>
  </si>
  <si>
    <t>BODENGRUPPE_KUNDE</t>
  </si>
  <si>
    <t>LA_BBTYPE1</t>
  </si>
  <si>
    <t>LA_BBTYPE2</t>
  </si>
  <si>
    <t>LA_BBTYPE3</t>
  </si>
  <si>
    <t>LA_BBTYPE4</t>
  </si>
  <si>
    <t>LA_BBDATE1</t>
  </si>
  <si>
    <t>LA_BBDATE2</t>
  </si>
  <si>
    <t>LA_BBDATE3</t>
  </si>
  <si>
    <t>LA_BBDATE4</t>
  </si>
  <si>
    <t>LA_BEFU_LOT_NUMBER</t>
  </si>
  <si>
    <t>LA_SOIL_DEPTH</t>
  </si>
  <si>
    <t>LA_DIRSEED</t>
  </si>
  <si>
    <t>LA_NEXT_FRUIT_TYPE</t>
  </si>
  <si>
    <t>LA_GR_SOILVALUE</t>
  </si>
  <si>
    <t>LA_GR_TYPE</t>
  </si>
  <si>
    <t>LA_GR_FERTILIZATION</t>
  </si>
  <si>
    <t>LA_STALK</t>
  </si>
  <si>
    <t>LA_RAINFALL</t>
  </si>
  <si>
    <t>LA_MD_AUTUMN</t>
  </si>
  <si>
    <t>LA_NMIN_UPTO</t>
  </si>
  <si>
    <t>LA_ECO</t>
  </si>
  <si>
    <t>LA_PROD_GOAL</t>
  </si>
  <si>
    <t>LA_QUAL_ADD</t>
  </si>
  <si>
    <t>LA_SEED_DATE</t>
  </si>
  <si>
    <t>LA_STONE_CONTENT</t>
  </si>
  <si>
    <t>LA_CATTLE</t>
  </si>
  <si>
    <t>LA_V_CULTIVATION</t>
  </si>
  <si>
    <t>LA_CATTLE_DENSITY</t>
  </si>
  <si>
    <t>LA_WITHOUT_CATTLE</t>
  </si>
  <si>
    <t>LA_WDGV1</t>
  </si>
  <si>
    <t>LA_WDLJ</t>
  </si>
  <si>
    <t>LA_WDTS1</t>
  </si>
  <si>
    <t>LA_WDTS2</t>
  </si>
  <si>
    <t>LC_PC_WHOLE_PLANT_REMOVAL</t>
  </si>
  <si>
    <t>LC_FROZEN_OFF</t>
  </si>
  <si>
    <t>LC_PC_PLANT_DATE</t>
  </si>
  <si>
    <t>LC_PLANT_DATE</t>
  </si>
  <si>
    <t>LC_SPRINKLING</t>
  </si>
  <si>
    <t>LC_INVENTORY_DEVELOPMENT</t>
  </si>
  <si>
    <t>LC_ORDER</t>
  </si>
  <si>
    <t>LC_SOIL_COVER</t>
  </si>
  <si>
    <t>LC_PC_FALLOW</t>
  </si>
  <si>
    <t>LC_FALLOW</t>
  </si>
  <si>
    <t>LC_EC</t>
  </si>
  <si>
    <t>LC_INDUCTION</t>
  </si>
  <si>
    <t>STRAW_REMOVAL</t>
  </si>
  <si>
    <t>LC_CROP_YEAR</t>
  </si>
  <si>
    <t>LC_YIELD_LEVEL</t>
  </si>
  <si>
    <t>LC_YIELD_GOAL</t>
  </si>
  <si>
    <t>LC_PC_YIELD_GOAL</t>
  </si>
  <si>
    <t xml:space="preserve">LC_PC_FRUIT_TYPE </t>
  </si>
  <si>
    <t>LC_FRUIT_TYPE</t>
  </si>
  <si>
    <t>LC_POTATO_GROUP</t>
  </si>
  <si>
    <t>LC_LEGUME</t>
  </si>
  <si>
    <t>LC_LEGUME_PROPORTION</t>
  </si>
  <si>
    <t>LC_WITH_USAGE</t>
  </si>
  <si>
    <t>LC_RAPE_LEAF_LOSSES</t>
  </si>
  <si>
    <t>LC_RAPE_FRESH_MASS</t>
  </si>
  <si>
    <t>LC_RAPE_ROOT_DIAMETER</t>
  </si>
  <si>
    <t>LC_CRUDE_PROTEIN_CONTENT</t>
  </si>
  <si>
    <t>LC_RED_AREA</t>
  </si>
  <si>
    <t>LC_CUT_COUNT</t>
  </si>
  <si>
    <t>LC_SPECIES</t>
  </si>
  <si>
    <t>LC_VEGETATION_START</t>
  </si>
  <si>
    <t>LC_USE</t>
  </si>
  <si>
    <t>LC_PASTURE_PROPORTION</t>
  </si>
  <si>
    <t>LC_INTERMEDIATE_FRUIT</t>
  </si>
  <si>
    <t>LC_INTERMEDIATE_IN</t>
  </si>
  <si>
    <t>LC_INTERMEDIATE_IN_DATE</t>
  </si>
  <si>
    <t>LF_FERTILIZER_1</t>
  </si>
  <si>
    <t>LF_FERTILIZER_DATE_1</t>
  </si>
  <si>
    <t>LF_FERTILISER_QUANTITY1</t>
  </si>
  <si>
    <t>LF_NITROGEN_CONTENT</t>
  </si>
  <si>
    <t>LF_STABLE_N_DUENGER</t>
  </si>
  <si>
    <t>Platzhalter!</t>
  </si>
  <si>
    <t>LF_IC_FROZEN_GMZF1</t>
  </si>
  <si>
    <t>LF_IC_FROZEN_GMZF2</t>
  </si>
  <si>
    <t>LF_FROZEN_GMZF1</t>
  </si>
  <si>
    <t>LF_FROZEN_GMZF2</t>
  </si>
  <si>
    <t>LF_NITROGEN_TOTAL</t>
  </si>
  <si>
    <r>
      <t xml:space="preserve">Öffnen Sie die alte xlsm-Quittung und </t>
    </r>
    <r>
      <rPr>
        <b/>
        <i/>
        <u/>
        <sz val="11"/>
        <color rgb="FFFF6600"/>
        <rFont val="Arial"/>
        <family val="2"/>
      </rPr>
      <t>löschen Sie das rote Tabellenblatt (WICHTIG)</t>
    </r>
    <r>
      <rPr>
        <i/>
        <sz val="11"/>
        <color rgb="FFFF6600"/>
        <rFont val="Arial"/>
        <family val="2"/>
      </rPr>
      <t>:</t>
    </r>
    <r>
      <rPr>
        <sz val="11"/>
        <color rgb="FFFF6600"/>
        <rFont val="Arial"/>
        <family val="2"/>
      </rPr>
      <t xml:space="preserve"> </t>
    </r>
    <r>
      <rPr>
        <sz val="11"/>
        <color theme="1"/>
        <rFont val="Arial"/>
        <family val="2"/>
      </rPr>
      <t>rechte Maustaste → Löschen)</t>
    </r>
  </si>
  <si>
    <t>H:\!-Puffer\Test\</t>
  </si>
  <si>
    <t>H:\!-Puffer\Quittung\</t>
  </si>
  <si>
    <t>Postbefund</t>
  </si>
  <si>
    <t>Postrechnung</t>
  </si>
  <si>
    <t>Postbefund (x) ?</t>
  </si>
  <si>
    <t>Postrechnung (x) ?</t>
  </si>
  <si>
    <t>"Postbefund" und "Postrechnung" hinzugefügt</t>
  </si>
  <si>
    <t>MR</t>
  </si>
  <si>
    <t>Auftragsdaten +csv + Makro</t>
  </si>
  <si>
    <t>Ortsteil</t>
  </si>
  <si>
    <t>3.1  Erfassen der Auftragskopfdaten (die orangen Felder sind Pflichtfelder)</t>
  </si>
  <si>
    <t>3.1. Erfassen der Probendetails  (die orangen Felder sind Pflichtfelder)</t>
  </si>
  <si>
    <t>3.2 Makro zur Erzeugung aller Folge-Dateien ausführen (Es ist das grüne Makro)</t>
  </si>
  <si>
    <t>Anmerkungen</t>
  </si>
  <si>
    <t>A1) Postbefund und Postrechnung: Es wird generell angenommen, dass bei Vorliegen einer e-mail-Adresse beim landwirtschaftlichen Betrieb KEIN Postalischer Versand stattfindet. Soll trotzdem der Befund bzw. die Rechnung per Papier-Post versendet werden, bitte ankreuzen (bitte beachten: In diesem Fall fällt ein zusätzlicher Rechnungsposten Porto/Versand an)</t>
  </si>
  <si>
    <t>A2) die 3 "NUR-Felder" bitte nur füllen, wenn es sich wirklich um die entsprechenden Bundesländer handelt</t>
  </si>
  <si>
    <t>A1) extrem wichtig: Tütenbarcode – das ist das einzige Erkennungsmerkmal der Probe, die physisch im Labor eintrifft!</t>
  </si>
  <si>
    <t>A2) die lfd.Nr./GPS muß eindeutig sein. Eine Nummer darf also nur 1x vorkommen (zumindest je Auftrag und Schlag); (Man kann das mit den bisher auf den Tüten geschriebenen Nummern vergleichen)</t>
  </si>
  <si>
    <r>
      <t xml:space="preserve">Verzeichnis für csv an Agrolab
</t>
    </r>
    <r>
      <rPr>
        <b/>
        <sz val="10"/>
        <color theme="9" tint="-0.249977111117893"/>
        <rFont val="Calibri"/>
        <family val="2"/>
        <scheme val="minor"/>
      </rPr>
      <t>(endet mit \)</t>
    </r>
  </si>
  <si>
    <r>
      <t xml:space="preserve">Verzeichnis für xlsm als Quittung und Kistenpdf
</t>
    </r>
    <r>
      <rPr>
        <b/>
        <sz val="10"/>
        <color theme="9" tint="-0.249977111117893"/>
        <rFont val="Calibri"/>
        <family val="2"/>
        <scheme val="minor"/>
      </rPr>
      <t>(endet mit \)</t>
    </r>
  </si>
  <si>
    <t>(Anmerkung1: wenn Sie nicht wünschen, dass das pdf automatisch geöffnet wird, sagen Sie bescheid, damit wir diesen Schritt aus dem Makro entfernen können)</t>
  </si>
  <si>
    <t>3.2.4 Automatisch öffnet sich ihr  pdf-Programm (üblicherweise AcrobatReader) mit dem pdf, das soeben erzeugt wurde. Sie können es ausdrucken und zu Ihren Proben in die Kiste legen.</t>
  </si>
  <si>
    <r>
      <rPr>
        <sz val="11"/>
        <color rgb="FFFF9900"/>
        <rFont val="Calibri"/>
        <family val="2"/>
        <scheme val="minor"/>
      </rPr>
      <t xml:space="preserve">A3) </t>
    </r>
    <r>
      <rPr>
        <sz val="11"/>
        <color rgb="FFFF6600"/>
        <rFont val="Calibri"/>
        <family val="2"/>
        <scheme val="minor"/>
      </rPr>
      <t>ACHTUNG:</t>
    </r>
    <r>
      <rPr>
        <sz val="11"/>
        <color rgb="FFFF9900"/>
        <rFont val="Calibri"/>
        <family val="2"/>
        <scheme val="minor"/>
      </rPr>
      <t xml:space="preserve"> </t>
    </r>
    <r>
      <rPr>
        <sz val="11"/>
        <color theme="1"/>
        <rFont val="Calibri"/>
        <family val="2"/>
        <scheme val="minor"/>
      </rPr>
      <t xml:space="preserve">Bei Eingabe der </t>
    </r>
    <r>
      <rPr>
        <sz val="11"/>
        <color rgb="FFFF6600"/>
        <rFont val="Calibri"/>
        <family val="2"/>
        <scheme val="minor"/>
      </rPr>
      <t xml:space="preserve">Kundenummer AGROLAB </t>
    </r>
    <r>
      <rPr>
        <sz val="11"/>
        <color theme="1"/>
        <rFont val="Calibri"/>
        <family val="2"/>
        <scheme val="minor"/>
      </rPr>
      <t>werden in der Agrolab-Datenbank die Detail-Adressdaten mit den hier gemachten Angabe überschrieben (z.B. Name)</t>
    </r>
  </si>
  <si>
    <r>
      <t>(Anmerkung2:</t>
    </r>
    <r>
      <rPr>
        <sz val="11"/>
        <color theme="9" tint="-0.249977111117893"/>
        <rFont val="Arial"/>
        <family val="2"/>
      </rPr>
      <t xml:space="preserve"> </t>
    </r>
    <r>
      <rPr>
        <sz val="11"/>
        <color rgb="FFFF6600"/>
        <rFont val="Arial"/>
        <family val="2"/>
      </rPr>
      <t xml:space="preserve">Bitte in JEDE Kiste eine Zettel oben auflegen mit Angabe zum Bundesland (und bei SA und BR zu CAL bzw.DL) </t>
    </r>
    <r>
      <rPr>
        <sz val="11"/>
        <color theme="1"/>
        <rFont val="Arial"/>
        <family val="2"/>
      </rPr>
      <t>- Am besten ist dieser Begleitschein, gaht aber auch informeller, falls kein Drucker zur Verfügung) - Das ist notwendig für den ersten Prozeßschritt im Labor (Zuordnung der Kiste zu den 3 Hauptschienen)</t>
    </r>
  </si>
  <si>
    <t>Steuerelement für Fruchtfolge korrigiert</t>
  </si>
  <si>
    <t>1.02a</t>
  </si>
  <si>
    <t>Der digitale Probenbegleitschein im Bereich Boden ist eine Excel-Datei im Format xltm (also eine Excel-Vorlage mit eingebetteten Makros).</t>
  </si>
  <si>
    <t>Auftragsdaten und Anleitung</t>
  </si>
  <si>
    <t>1.02b</t>
  </si>
  <si>
    <t>A4) Gibt es einen Rechnungsnehmer abweichend vom Landwirtschaftlichen Betrieb, muß beim Rechnungsnehmer die KD.Nr. AGROLAB eingetragen werden (abweichender Rechnungsnehmer muß bekannt sein)</t>
  </si>
  <si>
    <t>6 FAQ/typische Probleme</t>
  </si>
  <si>
    <t xml:space="preserve">6.1 Rechnungsnehmer (abweichend vom Landwirtschaftlichen Betzrieb): </t>
  </si>
  <si>
    <t>Gibt es einen Rechnungsnehmer abweichend vom Landwirtschaftlichen Betrieb, muß beim Rechnungsnehmer die KD.Nr. AGROLAB eingetragen werden (abweichender Rechnungsnehmer muß bekannt sein)</t>
  </si>
  <si>
    <t>6.2 Fruchtarten</t>
  </si>
  <si>
    <t>Bei den Fruchtarten gibt es eine Drop-Down-Liste, aus der ausgewählt werden muß, weil die Datenbank andere Früchte "nicht kennt". Bei weitergehendem Bedarf bitte im Labor nachfragen (Beispiel: "Winterweizen" ist in der Liste und verursacht keine Probleme, "Winterweichweizen" ist nicht in der LKiste und verursacht Probleme</t>
  </si>
  <si>
    <t>Extraktionsverfahren in Sachsen-Anhalt bzw. Brandenburg</t>
  </si>
  <si>
    <t>Die Pfade auf dem PC, in dem die Dateien gespeichert werden sollen, werden im dPBS festgelegt(einmalig in der xltm-Datei - Achtung: Die Pfadangabe muß mit \ enden)</t>
  </si>
  <si>
    <t>nur für Vorlagen Buchner - 
wäre aber generell möglich</t>
  </si>
  <si>
    <t>Probendaten</t>
  </si>
  <si>
    <t>alternativ: slS</t>
  </si>
  <si>
    <t>Vorname und e-mail nicht mehr orange und Anleitung angepaßt.
&gt;&gt;&gt; sehr geringe Anpassungen (kein erneues Verteilen nötig)</t>
  </si>
  <si>
    <r>
      <t>BESTAND: Die Tabelle ist eine "</t>
    </r>
    <r>
      <rPr>
        <b/>
        <sz val="11"/>
        <color theme="1"/>
        <rFont val="Calibri"/>
        <family val="2"/>
        <scheme val="minor"/>
      </rPr>
      <t>Intelligente Tabelle</t>
    </r>
    <r>
      <rPr>
        <sz val="11"/>
        <color theme="1"/>
        <rFont val="Calibri"/>
        <family val="2"/>
        <scheme val="minor"/>
      </rPr>
      <t>" (beinhaltet Überschriften und die erste Zeile 7, in der Bei Nutzung und Standard eine Funktion hinterlegt ist. Diese Zeile ist ausgeblendet, damit sie vom Nutzer nicht verändert wird. Wird eine neue Zeile angelegt, werden die Vorgaben der intellegenten Tabelle übernommen - inkl. der Formel aus der ersten Zeile 7 für die Spalte)
NEU: Formeln für Nutzung und Standard nachgepflegt</t>
    </r>
  </si>
  <si>
    <t>1.03</t>
  </si>
  <si>
    <t>intelligente Tabelle</t>
  </si>
  <si>
    <r>
      <t>Makro geändert für Buchner: Lücken in Blatt "Proben sind nun möglich (in csv-Datei werden einfach Zeilen ohne Tütenbarcode gelöscht:</t>
    </r>
    <r>
      <rPr>
        <sz val="11"/>
        <color rgb="FF00B050"/>
        <rFont val="Courier New"/>
        <family val="3"/>
      </rPr>
      <t xml:space="preserve">
    ' Einschub Buchner # Lücken im Probendatensatz (ohne Tütenbarcode) werden geschlossen # Voraussetzung ist Eintrag in lfd.Nr,/GPS bis zur letzten Tüte - also auch bei den Lücken
</t>
    </r>
    <r>
      <rPr>
        <sz val="11"/>
        <color rgb="FFFFC000"/>
        <rFont val="Courier New"/>
        <family val="3"/>
      </rPr>
      <t xml:space="preserve">    Rows("16:16").Select
    Selection.Copy
    Selection.Insert Shift:=xlDown
    Range("A1").Select
    Range("D17:D5000").SpecialCells(xlCellTypeBlanks).EntireRow.Delete</t>
    </r>
    <r>
      <rPr>
        <sz val="11"/>
        <color rgb="FF00B050"/>
        <rFont val="Courier New"/>
        <family val="3"/>
      </rPr>
      <t xml:space="preserve">
'Anmerkung: die ersten 4 Befehlszeilen bewirken das erstellen eines relevanten Datensatzes ohne Tütenbarcode - das ist wichtig, damit der Befehl in Zeile 5 keinen Fehler wirft, wenn er keinen Eintrag findet
' Ende Einschub Buchner</t>
    </r>
  </si>
  <si>
    <t>01.08.2024
und
20.09.2024</t>
  </si>
  <si>
    <t>angebaute Fruchtart</t>
  </si>
  <si>
    <t>In Zelle I2 steht der Dateiname für die xlsm- und csv-Datei. Diese darf keine Anführungszeichen enthalte: Im Makro eingebaut, dass diese durch Unterstrich im Dateinamen ersetzt werden</t>
  </si>
  <si>
    <t>Codeliste für zusätzliche Parameter</t>
  </si>
  <si>
    <t>mehrere Codes können KOMMA-SEPARIERT eingegeben werden</t>
  </si>
  <si>
    <t>Inhalt</t>
  </si>
  <si>
    <t>Code für dPBS</t>
  </si>
  <si>
    <t>Info für Labor
(intern)</t>
  </si>
  <si>
    <t>oMg</t>
  </si>
  <si>
    <t>freier  Kalk</t>
  </si>
  <si>
    <t>Se</t>
  </si>
  <si>
    <t>TOC</t>
  </si>
  <si>
    <t>Standardpaket ohne Magnesium
(nur Bayern!)</t>
  </si>
  <si>
    <t>freier Kalk</t>
  </si>
  <si>
    <t>Schwefel aus CAT-Extrakt</t>
  </si>
  <si>
    <t>Selen aus CAT-Extrakt</t>
  </si>
  <si>
    <t>Organischer Kohlenstoff
(entspr. Organische Substanz/1,724)</t>
  </si>
  <si>
    <t>Codeliste</t>
  </si>
  <si>
    <t>csv-Datei</t>
  </si>
  <si>
    <t>Codeliste NEU "veröffentlicht"</t>
  </si>
  <si>
    <t>Codeliste ist nun sichtbar und füllbar (Blatt "Proben"). Dazu gibt es eine Legende in Blatt "Einstellungen und Makro"§
--- Funktionalität ist geprüft</t>
  </si>
  <si>
    <t>1.04</t>
  </si>
  <si>
    <t>A3) Mögliche Einträge für die Codeliste (Nutzen mehrerer Codes durch KOMMA-Separierung ist möglich) entnehmen Sie bitte der Legende in Blatt "Einstellungen und Makro"</t>
  </si>
  <si>
    <t>Schlagname
(max. 20-stellig)</t>
  </si>
  <si>
    <t>Erweiterung Schlagname
(max. 15-stellig)</t>
  </si>
  <si>
    <t>Schlagnr.
(NUR Zahlen,
max. 15-stellig)</t>
  </si>
  <si>
    <t>Teilschlag-nr.
(NUR Zahlen, max. 3-st)</t>
  </si>
  <si>
    <t>lfd.Nr. /GPS
(Eindeutig,
max. 7-stellig)</t>
  </si>
  <si>
    <t>25-45</t>
  </si>
  <si>
    <t>&lt;50</t>
  </si>
  <si>
    <t>Schluff-
gehalt [%]</t>
  </si>
  <si>
    <t>Ton-
gehalt [%]</t>
  </si>
  <si>
    <t>&lt;10</t>
  </si>
  <si>
    <t>5-12
0-5</t>
  </si>
  <si>
    <t>&lt;50
10-40</t>
  </si>
  <si>
    <t>&lt;50
40-50</t>
  </si>
  <si>
    <t>12-17
0-5</t>
  </si>
  <si>
    <t>&lt;25</t>
  </si>
  <si>
    <t>&gt;50</t>
  </si>
  <si>
    <t>Bodenarten: Beschreibung aktualisiert</t>
  </si>
  <si>
    <t>Stand Januar 2025</t>
  </si>
  <si>
    <t>dPBS-B Version 1.05 Bedienungsanleitung</t>
  </si>
  <si>
    <t>1.05</t>
  </si>
  <si>
    <t>Proben: Codeliste</t>
  </si>
  <si>
    <t>Codeliste: Hier war die Eingabe eingeschränkt (nur X war möglich!) - geändert auf: KEINE Einschränkung</t>
  </si>
  <si>
    <t>Nnach</t>
  </si>
  <si>
    <t>N nachlieferbar</t>
  </si>
  <si>
    <t/>
  </si>
  <si>
    <t>Stand: 12.05.2025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</si>
</sst>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quot;-&quot;;;;&quot;*&quot;@&quot;*&quot;"/>
    <numFmt numFmtId="165" formatCode="00000"/>
    <numFmt numFmtId="166" formatCode="#,##0.00\ _€"/>
    <numFmt numFmtId="167" formatCode="yyyymmdd"/>
  </numFmts>
  <fonts count="107">
    <font>
      <sz val="11"/>
      <color theme="1"/>
      <name val="Calibri"/>
      <family val="2"/>
      <scheme val="minor"/>
    </font>
    <font>
      <sz val="11"/>
      <color theme="1"/>
      <name val="Calibri"/>
      <family val="2"/>
      <scheme val="minor"/>
    </font>
    <font>
      <b/>
      <sz val="11"/>
      <color theme="1"/>
      <name val="Arial"/>
      <family val="2"/>
    </font>
    <font>
      <b/>
      <sz val="12"/>
      <name val="Arial"/>
      <family val="2"/>
    </font>
    <font>
      <b/>
      <sz val="16"/>
      <color theme="1"/>
      <name val="Arial"/>
      <family val="2"/>
    </font>
    <font>
      <b/>
      <i/>
      <sz val="16"/>
      <color theme="1"/>
      <name val="Arial"/>
      <family val="2"/>
    </font>
    <font>
      <b/>
      <sz val="20"/>
      <color theme="1"/>
      <name val="Arial"/>
      <family val="2"/>
    </font>
    <font>
      <b/>
      <sz val="28"/>
      <color theme="1"/>
      <name val="Arial"/>
      <family val="2"/>
    </font>
    <font>
      <b/>
      <sz val="12"/>
      <color rgb="FFFFC000"/>
      <name val="Arial"/>
      <family val="2"/>
    </font>
    <font>
      <sz val="16"/>
      <color theme="1"/>
      <name val="Arial"/>
      <family val="2"/>
    </font>
    <font>
      <sz val="18"/>
      <color theme="1"/>
      <name val="IDAutomationHC39M Free Version"/>
      <family val="1"/>
      <charset val="2"/>
    </font>
    <font>
      <u/>
      <sz val="11"/>
      <color theme="10"/>
      <name val="Calibri"/>
      <family val="2"/>
      <scheme val="minor"/>
    </font>
    <font>
      <b/>
      <sz val="12"/>
      <color rgb="FFFFFF00"/>
      <name val="Arial"/>
      <family val="2"/>
    </font>
    <font>
      <b/>
      <sz val="14"/>
      <color rgb="FFFFC000"/>
      <name val="Arial"/>
      <family val="2"/>
    </font>
    <font>
      <b/>
      <sz val="14"/>
      <color rgb="FFFFC000"/>
      <name val="IDAutomationHC39M Free Version"/>
      <family val="1"/>
      <charset val="2"/>
    </font>
    <font>
      <sz val="16"/>
      <color theme="1"/>
      <name val="Calibri"/>
      <family val="2"/>
      <scheme val="minor"/>
    </font>
    <font>
      <b/>
      <sz val="12"/>
      <color theme="0"/>
      <name val="Arial"/>
      <family val="2"/>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FF0000"/>
      <name val="Calibri"/>
      <family val="2"/>
      <scheme val="minor"/>
    </font>
    <font>
      <b/>
      <sz val="11"/>
      <color theme="1"/>
      <name val="Calibri"/>
      <family val="2"/>
      <scheme val="minor"/>
    </font>
    <font>
      <sz val="11"/>
      <color theme="1"/>
      <name val="Arial"/>
      <family val="2"/>
    </font>
    <font>
      <sz val="9"/>
      <color indexed="81"/>
      <name val="Segoe UI"/>
      <family val="2"/>
    </font>
    <font>
      <b/>
      <sz val="9"/>
      <color indexed="81"/>
      <name val="Segoe UI"/>
      <family val="2"/>
    </font>
    <font>
      <b/>
      <sz val="14"/>
      <color theme="1"/>
      <name val="Arial"/>
      <family val="2"/>
    </font>
    <font>
      <b/>
      <sz val="12"/>
      <color theme="1"/>
      <name val="Arial"/>
      <family val="2"/>
    </font>
    <font>
      <u/>
      <sz val="14"/>
      <color theme="10"/>
      <name val="Arial"/>
      <family val="2"/>
    </font>
    <font>
      <b/>
      <sz val="8"/>
      <color theme="1"/>
      <name val="Arial"/>
      <family val="2"/>
    </font>
    <font>
      <b/>
      <sz val="8"/>
      <color theme="1"/>
      <name val="Calibri"/>
      <family val="2"/>
      <scheme val="minor"/>
    </font>
    <font>
      <sz val="11"/>
      <color rgb="FF00B0F0"/>
      <name val="Calibri"/>
      <family val="2"/>
      <scheme val="minor"/>
    </font>
    <font>
      <i/>
      <sz val="11"/>
      <color rgb="FF00B0F0"/>
      <name val="Calibri"/>
      <family val="2"/>
      <scheme val="minor"/>
    </font>
    <font>
      <sz val="10"/>
      <color rgb="FF067D17"/>
      <name val="JetBrains Mono"/>
      <family val="3"/>
    </font>
    <font>
      <sz val="10"/>
      <name val="Calibri"/>
      <family val="2"/>
      <scheme val="minor"/>
    </font>
    <font>
      <sz val="11"/>
      <name val="Calibri"/>
      <family val="2"/>
      <scheme val="minor"/>
    </font>
    <font>
      <sz val="11"/>
      <color rgb="FFFF00FF"/>
      <name val="Calibri"/>
      <family val="2"/>
      <scheme val="minor"/>
    </font>
    <font>
      <sz val="11"/>
      <color rgb="FF0000FF"/>
      <name val="Calibri"/>
      <family val="2"/>
      <scheme val="minor"/>
    </font>
    <font>
      <sz val="10"/>
      <color rgb="FF080808"/>
      <name val="JetBrains Mono"/>
      <family val="3"/>
    </font>
    <font>
      <sz val="10"/>
      <color rgb="FF871094"/>
      <name val="JetBrains Mono"/>
      <family val="3"/>
    </font>
    <font>
      <sz val="10"/>
      <color rgb="FF0000FF"/>
      <name val="JetBrains Mono"/>
      <family val="3"/>
    </font>
    <font>
      <sz val="10"/>
      <color rgb="FFFF0000"/>
      <name val="JetBrains Mono"/>
      <family val="3"/>
    </font>
    <font>
      <i/>
      <sz val="11"/>
      <color theme="1"/>
      <name val="Calibri"/>
      <family val="2"/>
      <scheme val="minor"/>
    </font>
    <font>
      <sz val="9"/>
      <color indexed="81"/>
      <name val="Tahoma"/>
      <family val="2"/>
    </font>
    <font>
      <b/>
      <sz val="9"/>
      <color indexed="81"/>
      <name val="Tahoma"/>
      <family val="2"/>
    </font>
    <font>
      <sz val="11"/>
      <color indexed="81"/>
      <name val="Tahoma"/>
      <family val="2"/>
    </font>
    <font>
      <sz val="10"/>
      <color indexed="81"/>
      <name val="Tahoma"/>
      <family val="2"/>
    </font>
    <font>
      <sz val="12"/>
      <color indexed="81"/>
      <name val="Tahoma"/>
      <family val="2"/>
    </font>
    <font>
      <b/>
      <sz val="16"/>
      <color theme="1"/>
      <name val="Calibri"/>
      <family val="2"/>
      <scheme val="minor"/>
    </font>
    <font>
      <sz val="8"/>
      <color theme="1"/>
      <name val="Calibri"/>
      <family val="2"/>
      <scheme val="minor"/>
    </font>
    <font>
      <sz val="8"/>
      <color theme="0"/>
      <name val="Calibri"/>
      <family val="2"/>
      <scheme val="minor"/>
    </font>
    <font>
      <b/>
      <sz val="16"/>
      <color rgb="FFFA7D00"/>
      <name val="Arial"/>
      <family val="2"/>
    </font>
    <font>
      <b/>
      <sz val="8"/>
      <color rgb="FF3F3F3F"/>
      <name val="Calibri"/>
      <family val="2"/>
      <scheme val="minor"/>
    </font>
    <font>
      <b/>
      <sz val="8"/>
      <color rgb="FFFA7D00"/>
      <name val="Calibri"/>
      <family val="2"/>
      <scheme val="minor"/>
    </font>
    <font>
      <sz val="8"/>
      <color rgb="FF3F3F76"/>
      <name val="Calibri"/>
      <family val="2"/>
      <scheme val="minor"/>
    </font>
    <font>
      <i/>
      <sz val="8"/>
      <color rgb="FF7F7F7F"/>
      <name val="Calibri"/>
      <family val="2"/>
      <scheme val="minor"/>
    </font>
    <font>
      <sz val="10"/>
      <color theme="1"/>
      <name val="Calibri"/>
      <family val="2"/>
      <scheme val="minor"/>
    </font>
    <font>
      <sz val="8"/>
      <color rgb="FF006100"/>
      <name val="Calibri"/>
      <family val="2"/>
      <scheme val="minor"/>
    </font>
    <font>
      <u/>
      <sz val="8"/>
      <color theme="10"/>
      <name val="Calibri"/>
      <family val="2"/>
      <scheme val="minor"/>
    </font>
    <font>
      <sz val="8"/>
      <color rgb="FF9C6500"/>
      <name val="Calibri"/>
      <family val="2"/>
      <scheme val="minor"/>
    </font>
    <font>
      <sz val="8"/>
      <color indexed="8"/>
      <name val="Calibri"/>
      <family val="2"/>
    </font>
    <font>
      <sz val="8"/>
      <color rgb="FF9C0006"/>
      <name val="Calibri"/>
      <family val="2"/>
      <scheme val="minor"/>
    </font>
    <font>
      <sz val="10"/>
      <name val="Arial"/>
      <family val="2"/>
    </font>
    <font>
      <sz val="10"/>
      <color theme="1"/>
      <name val="Arial"/>
      <family val="2"/>
    </font>
    <font>
      <b/>
      <sz val="18"/>
      <color theme="3"/>
      <name val="Cambria"/>
      <family val="2"/>
      <scheme val="major"/>
    </font>
    <font>
      <sz val="8"/>
      <color rgb="FFFA7D00"/>
      <name val="Calibri"/>
      <family val="2"/>
      <scheme val="minor"/>
    </font>
    <font>
      <sz val="8"/>
      <color rgb="FFFF0000"/>
      <name val="Calibri"/>
      <family val="2"/>
      <scheme val="minor"/>
    </font>
    <font>
      <b/>
      <sz val="8"/>
      <color theme="0"/>
      <name val="Calibri"/>
      <family val="2"/>
      <scheme val="minor"/>
    </font>
    <font>
      <b/>
      <sz val="10"/>
      <name val="Arial"/>
      <family val="2"/>
    </font>
    <font>
      <b/>
      <sz val="10"/>
      <color rgb="FFFF0000"/>
      <name val="Arial"/>
      <family val="2"/>
    </font>
    <font>
      <sz val="11"/>
      <color theme="0" tint="-0.34998626667073579"/>
      <name val="Calibri"/>
      <family val="2"/>
      <scheme val="minor"/>
    </font>
    <font>
      <sz val="16"/>
      <color rgb="FFCCFFCC"/>
      <name val="Arial"/>
      <family val="2"/>
    </font>
    <font>
      <sz val="16"/>
      <color rgb="FFFFC000"/>
      <name val="Arial"/>
      <family val="2"/>
    </font>
    <font>
      <sz val="16"/>
      <color rgb="FF92D050"/>
      <name val="Arial"/>
      <family val="2"/>
    </font>
    <font>
      <b/>
      <sz val="11"/>
      <color rgb="FF00B0F0"/>
      <name val="Calibri"/>
      <family val="2"/>
      <scheme val="minor"/>
    </font>
    <font>
      <sz val="24"/>
      <color theme="1"/>
      <name val="Arial"/>
      <family val="2"/>
    </font>
    <font>
      <sz val="11"/>
      <color theme="9" tint="0.59999389629810485"/>
      <name val="Calibri"/>
      <family val="2"/>
      <scheme val="minor"/>
    </font>
    <font>
      <b/>
      <sz val="11"/>
      <color rgb="FFFF6600"/>
      <name val="Calibri"/>
      <family val="2"/>
      <scheme val="minor"/>
    </font>
    <font>
      <b/>
      <sz val="18"/>
      <color theme="1"/>
      <name val="Calibri"/>
      <family val="2"/>
      <scheme val="minor"/>
    </font>
    <font>
      <b/>
      <sz val="11"/>
      <color rgb="FFFFC000"/>
      <name val="Arial"/>
      <family val="2"/>
    </font>
    <font>
      <sz val="26"/>
      <color rgb="FF17365D"/>
      <name val="Cambria"/>
      <family val="1"/>
    </font>
    <font>
      <sz val="7"/>
      <color theme="1"/>
      <name val="Times New Roman"/>
      <family val="1"/>
    </font>
    <font>
      <i/>
      <sz val="11"/>
      <color rgb="FFFF6600"/>
      <name val="Arial"/>
      <family val="2"/>
    </font>
    <font>
      <i/>
      <sz val="7"/>
      <color rgb="FFFF6600"/>
      <name val="Times New Roman"/>
      <family val="1"/>
    </font>
    <font>
      <sz val="11"/>
      <color rgb="FFFF6600"/>
      <name val="Arial"/>
      <family val="2"/>
    </font>
    <font>
      <b/>
      <sz val="11"/>
      <color rgb="FFFFFF00"/>
      <name val="Arial"/>
      <family val="2"/>
    </font>
    <font>
      <b/>
      <sz val="11"/>
      <name val="Arial"/>
      <family val="2"/>
    </font>
    <font>
      <sz val="10"/>
      <color theme="0"/>
      <name val="Arial"/>
      <family val="2"/>
    </font>
    <font>
      <u/>
      <sz val="11"/>
      <color theme="10"/>
      <name val="Arial"/>
      <family val="2"/>
    </font>
    <font>
      <sz val="8"/>
      <name val="Calibri"/>
      <family val="2"/>
      <scheme val="minor"/>
    </font>
    <font>
      <b/>
      <sz val="16"/>
      <color rgb="FF339966"/>
      <name val="Arial"/>
      <family val="2"/>
    </font>
    <font>
      <sz val="20"/>
      <color rgb="FFFF6600"/>
      <name val="Arial"/>
      <family val="2"/>
    </font>
    <font>
      <b/>
      <i/>
      <u/>
      <sz val="11"/>
      <color rgb="FFFF6600"/>
      <name val="Arial"/>
      <family val="2"/>
    </font>
    <font>
      <b/>
      <sz val="16"/>
      <color rgb="FFFF0000"/>
      <name val="Arial"/>
      <family val="2"/>
    </font>
    <font>
      <sz val="18"/>
      <color theme="1"/>
      <name val="Calibri"/>
      <family val="2"/>
      <scheme val="minor"/>
    </font>
    <font>
      <sz val="18"/>
      <color theme="1"/>
      <name val="Arial"/>
      <family val="2"/>
    </font>
    <font>
      <i/>
      <sz val="16"/>
      <color theme="1"/>
      <name val="Arial"/>
      <family val="2"/>
    </font>
    <font>
      <b/>
      <i/>
      <sz val="11"/>
      <color rgb="FFFF6600"/>
      <name val="Arial"/>
      <family val="2"/>
    </font>
    <font>
      <b/>
      <sz val="10"/>
      <color theme="9" tint="-0.249977111117893"/>
      <name val="Calibri"/>
      <family val="2"/>
      <scheme val="minor"/>
    </font>
    <font>
      <sz val="11"/>
      <color theme="9" tint="-0.249977111117893"/>
      <name val="Arial"/>
      <family val="2"/>
    </font>
    <font>
      <sz val="11"/>
      <color rgb="FFFF9900"/>
      <name val="Calibri"/>
      <family val="2"/>
      <scheme val="minor"/>
    </font>
    <font>
      <sz val="11"/>
      <color rgb="FFFF6600"/>
      <name val="Calibri"/>
      <family val="2"/>
      <scheme val="minor"/>
    </font>
    <font>
      <sz val="11"/>
      <color rgb="FF00B050"/>
      <name val="Courier New"/>
      <family val="3"/>
    </font>
    <font>
      <sz val="14"/>
      <color theme="1"/>
      <name val="Arial"/>
      <family val="2"/>
    </font>
    <font>
      <sz val="11"/>
      <color rgb="FFFFC000"/>
      <name val="Courier New"/>
      <family val="3"/>
    </font>
    <font>
      <b/>
      <sz val="18"/>
      <color rgb="FFFFC000"/>
      <name val="Arial"/>
      <family val="2"/>
    </font>
    <font>
      <b/>
      <sz val="18"/>
      <color theme="1"/>
      <name val="Arial"/>
      <family val="2"/>
    </font>
  </fonts>
  <fills count="49">
    <fill>
      <patternFill patternType="none"/>
    </fill>
    <fill>
      <patternFill patternType="gray125"/>
    </fill>
    <fill>
      <patternFill patternType="solid">
        <fgColor theme="0"/>
        <bgColor indexed="64"/>
      </patternFill>
    </fill>
    <fill>
      <patternFill patternType="solid">
        <fgColor rgb="FFFFC000"/>
        <bgColor indexed="64"/>
      </patternFill>
    </fill>
    <fill>
      <patternFill patternType="solid">
        <fgColor rgb="FFCCFFCC"/>
        <bgColor indexed="64"/>
      </patternFill>
    </fill>
    <fill>
      <patternFill patternType="solid">
        <fgColor rgb="FFFFFF00"/>
        <bgColor indexed="64"/>
      </patternFill>
    </fill>
    <fill>
      <patternFill patternType="solid">
        <fgColor rgb="FFC6EF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00B0F0"/>
        <bgColor indexed="64"/>
      </patternFill>
    </fill>
    <fill>
      <patternFill patternType="solid">
        <fgColor rgb="FF92D050"/>
        <bgColor indexed="64"/>
      </patternFill>
    </fill>
    <fill>
      <patternFill patternType="solid">
        <fgColor rgb="FFFFFFCC"/>
        <bgColor indexed="64"/>
      </patternFill>
    </fill>
    <fill>
      <patternFill patternType="solid">
        <fgColor rgb="FFFFCCFF"/>
        <bgColor indexed="64"/>
      </patternFill>
    </fill>
    <fill>
      <patternFill patternType="solid">
        <fgColor rgb="FFCCFFFF"/>
        <bgColor indexed="64"/>
      </patternFill>
    </fill>
    <fill>
      <patternFill patternType="solid">
        <fgColor rgb="FFCCCCFF"/>
        <bgColor indexed="64"/>
      </patternFill>
    </fill>
    <fill>
      <patternFill patternType="solid">
        <fgColor rgb="FFCCFF99"/>
        <bgColor indexed="64"/>
      </patternFill>
    </fill>
    <fill>
      <patternFill patternType="solid">
        <fgColor rgb="FFCCFF66"/>
        <bgColor indexed="64"/>
      </patternFill>
    </fill>
    <fill>
      <patternFill patternType="solid">
        <fgColor theme="9" tint="0.59999389629810485"/>
        <bgColor indexed="64"/>
      </patternFill>
    </fill>
    <fill>
      <patternFill patternType="solid">
        <fgColor rgb="FF99CCFF"/>
        <bgColor indexed="64"/>
      </patternFill>
    </fill>
    <fill>
      <patternFill patternType="solid">
        <fgColor rgb="FF3399FF"/>
        <bgColor indexed="64"/>
      </patternFill>
    </fill>
    <fill>
      <patternFill patternType="solid">
        <fgColor rgb="FFFFC7CE"/>
      </patternFill>
    </fill>
    <fill>
      <patternFill patternType="solid">
        <fgColor rgb="FFFFEB9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59999389629810485"/>
        <bgColor indexed="65"/>
      </patternFill>
    </fill>
    <fill>
      <patternFill patternType="solid">
        <fgColor theme="9" tint="0.39997558519241921"/>
        <bgColor indexed="65"/>
      </patternFill>
    </fill>
    <fill>
      <gradientFill>
        <stop position="0">
          <color rgb="FF92D050"/>
        </stop>
        <stop position="1">
          <color rgb="FFFFC000"/>
        </stop>
      </gradientFill>
    </fill>
  </fills>
  <borders count="73">
    <border>
      <left/>
      <right/>
      <top/>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right style="thick">
        <color indexed="64"/>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auto="1"/>
      </left>
      <right/>
      <top style="thick">
        <color auto="1"/>
      </top>
      <bottom/>
      <diagonal/>
    </border>
    <border>
      <left/>
      <right style="thick">
        <color indexed="64"/>
      </right>
      <top style="thick">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n">
        <color auto="1"/>
      </left>
      <right style="thin">
        <color auto="1"/>
      </right>
      <top/>
      <bottom style="thick">
        <color auto="1"/>
      </bottom>
      <diagonal/>
    </border>
    <border>
      <left/>
      <right style="thin">
        <color indexed="64"/>
      </right>
      <top/>
      <bottom style="thin">
        <color indexed="64"/>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style="thick">
        <color indexed="64"/>
      </bottom>
      <diagonal/>
    </border>
    <border>
      <left style="thick">
        <color indexed="64"/>
      </left>
      <right/>
      <top style="thick">
        <color indexed="64"/>
      </top>
      <bottom style="thick">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ck">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style="thick">
        <color indexed="64"/>
      </top>
      <bottom style="thick">
        <color indexed="64"/>
      </bottom>
      <diagonal/>
    </border>
    <border>
      <left/>
      <right style="thin">
        <color indexed="64"/>
      </right>
      <top style="medium">
        <color indexed="64"/>
      </top>
      <bottom style="medium">
        <color indexed="64"/>
      </bottom>
      <diagonal/>
    </border>
    <border>
      <left/>
      <right/>
      <top style="thin">
        <color indexed="64"/>
      </top>
      <bottom/>
      <diagonal/>
    </border>
    <border>
      <left style="thin">
        <color indexed="64"/>
      </left>
      <right/>
      <top style="thin">
        <color indexed="64"/>
      </top>
      <bottom/>
      <diagonal/>
    </border>
    <border>
      <left style="thick">
        <color indexed="64"/>
      </left>
      <right style="thick">
        <color indexed="64"/>
      </right>
      <top/>
      <bottom style="thick">
        <color indexed="64"/>
      </bottom>
      <diagonal/>
    </border>
    <border>
      <left/>
      <right style="thin">
        <color indexed="64"/>
      </right>
      <top/>
      <bottom style="thick">
        <color indexed="64"/>
      </bottom>
      <diagonal/>
    </border>
    <border>
      <left style="thin">
        <color indexed="64"/>
      </left>
      <right style="thin">
        <color indexed="64"/>
      </right>
      <top/>
      <bottom/>
      <diagonal/>
    </border>
    <border>
      <left style="thin">
        <color indexed="64"/>
      </left>
      <right style="thick">
        <color indexed="64"/>
      </right>
      <top/>
      <bottom style="thick">
        <color indexed="64"/>
      </bottom>
      <diagonal/>
    </border>
    <border>
      <left style="thin">
        <color indexed="64"/>
      </left>
      <right style="thin">
        <color indexed="64"/>
      </right>
      <top style="medium">
        <color indexed="64"/>
      </top>
      <bottom style="medium">
        <color indexed="64"/>
      </bottom>
      <diagonal/>
    </border>
    <border>
      <left/>
      <right style="thick">
        <color indexed="64"/>
      </right>
      <top style="medium">
        <color indexed="64"/>
      </top>
      <bottom style="medium">
        <color indexed="64"/>
      </bottom>
      <diagonal/>
    </border>
    <border>
      <left style="thin">
        <color indexed="64"/>
      </left>
      <right style="thick">
        <color indexed="64"/>
      </right>
      <top style="medium">
        <color indexed="64"/>
      </top>
      <bottom style="medium">
        <color indexed="64"/>
      </bottom>
      <diagonal/>
    </border>
    <border>
      <left style="thin">
        <color indexed="64"/>
      </left>
      <right style="thin">
        <color indexed="64"/>
      </right>
      <top style="thin">
        <color indexed="64"/>
      </top>
      <bottom/>
      <diagonal/>
    </border>
  </borders>
  <cellStyleXfs count="93">
    <xf numFmtId="0" fontId="0" fillId="0" borderId="0"/>
    <xf numFmtId="0" fontId="11" fillId="0" borderId="0" applyNumberFormat="0" applyFill="0" applyBorder="0" applyAlignment="0" applyProtection="0"/>
    <xf numFmtId="0" fontId="64" fillId="0" borderId="0" applyNumberFormat="0" applyFill="0" applyBorder="0" applyAlignment="0" applyProtection="0"/>
    <xf numFmtId="0" fontId="18" fillId="0" borderId="21" applyNumberFormat="0" applyFill="0" applyAlignment="0" applyProtection="0"/>
    <xf numFmtId="0" fontId="19" fillId="0" borderId="22" applyNumberFormat="0" applyFill="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49" fontId="7" fillId="2" borderId="1">
      <alignment horizontal="center" vertical="center"/>
      <protection locked="0"/>
    </xf>
    <xf numFmtId="164" fontId="10" fillId="2" borderId="1" applyFill="0">
      <alignment horizontal="center" vertical="top"/>
      <protection locked="0"/>
    </xf>
    <xf numFmtId="1" fontId="6" fillId="0" borderId="1">
      <alignment horizontal="center" vertical="center"/>
    </xf>
    <xf numFmtId="0" fontId="23" fillId="5" borderId="1">
      <alignment horizontal="left" wrapText="1"/>
    </xf>
    <xf numFmtId="0" fontId="11" fillId="0" borderId="0" applyNumberFormat="0" applyFill="0" applyBorder="0" applyAlignment="0" applyProtection="0"/>
    <xf numFmtId="0" fontId="49" fillId="11" borderId="0" applyNumberFormat="0" applyBorder="0" applyAlignment="0" applyProtection="0"/>
    <xf numFmtId="0" fontId="49" fillId="13" borderId="0" applyNumberFormat="0" applyBorder="0" applyAlignment="0" applyProtection="0"/>
    <xf numFmtId="0" fontId="49" fillId="15" borderId="0" applyNumberFormat="0" applyBorder="0" applyAlignment="0" applyProtection="0"/>
    <xf numFmtId="0" fontId="49" fillId="17" borderId="0" applyNumberFormat="0" applyBorder="0" applyAlignment="0" applyProtection="0"/>
    <xf numFmtId="0" fontId="49" fillId="19" borderId="0" applyNumberFormat="0" applyBorder="0" applyAlignment="0" applyProtection="0"/>
    <xf numFmtId="0" fontId="49" fillId="20" borderId="0" applyNumberFormat="0" applyBorder="0" applyAlignment="0" applyProtection="0"/>
    <xf numFmtId="0" fontId="49" fillId="12" borderId="0" applyNumberFormat="0" applyBorder="0" applyAlignment="0" applyProtection="0"/>
    <xf numFmtId="0" fontId="49" fillId="14" borderId="0" applyNumberFormat="0" applyBorder="0" applyAlignment="0" applyProtection="0"/>
    <xf numFmtId="0" fontId="49" fillId="16" borderId="0" applyNumberFormat="0" applyBorder="0" applyAlignment="0" applyProtection="0"/>
    <xf numFmtId="0" fontId="49" fillId="18" borderId="0" applyNumberFormat="0" applyBorder="0" applyAlignment="0" applyProtection="0"/>
    <xf numFmtId="0" fontId="49" fillId="43" borderId="0" applyNumberFormat="0" applyBorder="0" applyAlignment="0" applyProtection="0"/>
    <xf numFmtId="0" fontId="49" fillId="46" borderId="0" applyNumberFormat="0" applyBorder="0" applyAlignment="0" applyProtection="0"/>
    <xf numFmtId="0" fontId="50" fillId="35" borderId="0" applyNumberFormat="0" applyBorder="0" applyAlignment="0" applyProtection="0"/>
    <xf numFmtId="0" fontId="50" fillId="37" borderId="0" applyNumberFormat="0" applyBorder="0" applyAlignment="0" applyProtection="0"/>
    <xf numFmtId="0" fontId="50" fillId="39" borderId="0" applyNumberFormat="0" applyBorder="0" applyAlignment="0" applyProtection="0"/>
    <xf numFmtId="0" fontId="50" fillId="41" borderId="0" applyNumberFormat="0" applyBorder="0" applyAlignment="0" applyProtection="0"/>
    <xf numFmtId="0" fontId="50" fillId="44" borderId="0" applyNumberFormat="0" applyBorder="0" applyAlignment="0" applyProtection="0"/>
    <xf numFmtId="0" fontId="50" fillId="47" borderId="0" applyNumberFormat="0" applyBorder="0" applyAlignment="0" applyProtection="0"/>
    <xf numFmtId="0" fontId="51" fillId="5" borderId="0" applyProtection="0">
      <alignment vertical="top"/>
    </xf>
    <xf numFmtId="0" fontId="50" fillId="34" borderId="0" applyNumberFormat="0" applyBorder="0" applyAlignment="0" applyProtection="0"/>
    <xf numFmtId="0" fontId="50" fillId="36" borderId="0" applyNumberFormat="0" applyBorder="0" applyAlignment="0" applyProtection="0"/>
    <xf numFmtId="0" fontId="50" fillId="38" borderId="0" applyNumberFormat="0" applyBorder="0" applyAlignment="0" applyProtection="0"/>
    <xf numFmtId="0" fontId="50" fillId="40" borderId="0" applyNumberFormat="0" applyBorder="0" applyAlignment="0" applyProtection="0"/>
    <xf numFmtId="0" fontId="50" fillId="42" borderId="0" applyNumberFormat="0" applyBorder="0" applyAlignment="0" applyProtection="0"/>
    <xf numFmtId="0" fontId="50" fillId="45" borderId="0" applyNumberFormat="0" applyBorder="0" applyAlignment="0" applyProtection="0"/>
    <xf numFmtId="0" fontId="52" fillId="8" borderId="25" applyNumberFormat="0" applyAlignment="0" applyProtection="0"/>
    <xf numFmtId="0" fontId="53" fillId="8" borderId="24" applyNumberFormat="0" applyAlignment="0" applyProtection="0"/>
    <xf numFmtId="0" fontId="54" fillId="7" borderId="24" applyNumberFormat="0" applyAlignment="0" applyProtection="0"/>
    <xf numFmtId="0" fontId="30" fillId="0" borderId="29" applyNumberFormat="0" applyFill="0" applyAlignment="0" applyProtection="0"/>
    <xf numFmtId="0" fontId="55" fillId="0" borderId="0" applyNumberFormat="0" applyFill="0" applyBorder="0" applyAlignment="0" applyProtection="0"/>
    <xf numFmtId="0" fontId="56" fillId="48" borderId="1">
      <alignment vertical="top"/>
      <protection locked="0"/>
    </xf>
    <xf numFmtId="0" fontId="57" fillId="6" borderId="0" applyNumberFormat="0" applyBorder="0" applyAlignment="0" applyProtection="0"/>
    <xf numFmtId="0" fontId="58" fillId="0" borderId="0" applyNumberFormat="0" applyFill="0" applyBorder="0" applyAlignment="0" applyProtection="0"/>
    <xf numFmtId="0" fontId="59" fillId="33" borderId="0" applyNumberFormat="0" applyBorder="0" applyAlignment="0" applyProtection="0"/>
    <xf numFmtId="0" fontId="1" fillId="0" borderId="0"/>
    <xf numFmtId="0" fontId="60" fillId="10" borderId="28" applyNumberFormat="0" applyFont="0" applyAlignment="0" applyProtection="0"/>
    <xf numFmtId="0" fontId="61" fillId="32" borderId="0" applyNumberFormat="0" applyBorder="0" applyAlignment="0" applyProtection="0"/>
    <xf numFmtId="0" fontId="17" fillId="0" borderId="0">
      <alignment vertical="top"/>
    </xf>
    <xf numFmtId="0" fontId="62" fillId="0" borderId="0"/>
    <xf numFmtId="0" fontId="62" fillId="0" borderId="0"/>
    <xf numFmtId="0" fontId="49" fillId="0" borderId="0"/>
    <xf numFmtId="0" fontId="63" fillId="0" borderId="0"/>
    <xf numFmtId="0" fontId="18" fillId="0" borderId="21" applyNumberFormat="0" applyFill="0" applyAlignment="0" applyProtection="0"/>
    <xf numFmtId="0" fontId="19" fillId="0" borderId="22" applyNumberFormat="0" applyFill="0" applyAlignment="0" applyProtection="0"/>
    <xf numFmtId="0" fontId="20" fillId="0" borderId="23" applyNumberFormat="0" applyFill="0" applyAlignment="0" applyProtection="0"/>
    <xf numFmtId="0" fontId="20" fillId="0" borderId="0" applyNumberFormat="0" applyFill="0" applyBorder="0" applyAlignment="0" applyProtection="0"/>
    <xf numFmtId="0" fontId="65" fillId="0" borderId="26" applyNumberFormat="0" applyFill="0" applyAlignment="0" applyProtection="0"/>
    <xf numFmtId="0" fontId="66" fillId="0" borderId="0" applyNumberFormat="0" applyFill="0" applyBorder="0" applyAlignment="0" applyProtection="0"/>
    <xf numFmtId="0" fontId="67" fillId="9" borderId="27" applyNumberFormat="0" applyAlignment="0" applyProtection="0"/>
    <xf numFmtId="0" fontId="79" fillId="3" borderId="1" applyProtection="0">
      <alignment horizontal="center" vertical="center" wrapText="1"/>
      <protection locked="0"/>
    </xf>
    <xf numFmtId="164" fontId="10" fillId="2" borderId="1" applyFill="0">
      <alignment horizontal="center" vertical="justify"/>
      <protection locked="0"/>
    </xf>
    <xf numFmtId="1" fontId="7" fillId="0" borderId="1">
      <alignment horizontal="center" vertical="center"/>
      <protection locked="0"/>
    </xf>
    <xf numFmtId="1" fontId="26" fillId="0" borderId="1">
      <alignment horizontal="center" vertical="center"/>
      <protection locked="0"/>
    </xf>
    <xf numFmtId="49" fontId="26" fillId="0" borderId="1">
      <alignment horizontal="center" vertical="center" wrapText="1"/>
      <protection locked="0"/>
    </xf>
    <xf numFmtId="49" fontId="26" fillId="0" borderId="1">
      <alignment horizontal="center" vertical="center"/>
      <protection locked="0"/>
    </xf>
    <xf numFmtId="49" fontId="7" fillId="0" borderId="1">
      <alignment horizontal="center" vertical="center"/>
      <protection locked="0"/>
    </xf>
    <xf numFmtId="49" fontId="7" fillId="0" borderId="1">
      <alignment horizontal="center" vertical="center"/>
      <protection locked="0"/>
    </xf>
    <xf numFmtId="49" fontId="2" fillId="0" borderId="1" applyFill="0">
      <alignment horizontal="center" vertical="center" wrapText="1"/>
      <protection locked="0"/>
    </xf>
    <xf numFmtId="49" fontId="2" fillId="2" borderId="1">
      <alignment horizontal="center" vertical="center" wrapText="1"/>
      <protection locked="0"/>
    </xf>
    <xf numFmtId="0" fontId="85" fillId="5" borderId="1">
      <alignment horizontal="center" vertical="center" wrapText="1"/>
      <protection hidden="1"/>
    </xf>
    <xf numFmtId="49" fontId="2" fillId="3" borderId="12">
      <alignment horizontal="center" vertical="center" wrapText="1"/>
      <protection hidden="1"/>
    </xf>
    <xf numFmtId="49" fontId="86" fillId="22" borderId="12">
      <alignment horizontal="center" vertical="center" textRotation="90" wrapText="1"/>
      <protection hidden="1"/>
    </xf>
    <xf numFmtId="49" fontId="86" fillId="4" borderId="12">
      <alignment horizontal="center" vertical="center" wrapText="1"/>
    </xf>
    <xf numFmtId="49" fontId="86" fillId="5" borderId="12">
      <alignment horizontal="center" vertical="center" wrapText="1"/>
      <protection hidden="1"/>
    </xf>
    <xf numFmtId="49" fontId="86" fillId="5" borderId="12">
      <alignment horizontal="center" vertical="center" wrapText="1"/>
      <protection hidden="1"/>
    </xf>
    <xf numFmtId="49" fontId="86" fillId="4" borderId="12">
      <alignment horizontal="center" vertical="center" wrapText="1"/>
      <protection hidden="1"/>
    </xf>
    <xf numFmtId="49" fontId="86" fillId="4" borderId="12">
      <alignment horizontal="center" vertical="center" wrapText="1"/>
      <protection hidden="1"/>
    </xf>
    <xf numFmtId="49" fontId="86" fillId="5" borderId="12">
      <alignment horizontal="center" vertical="center" wrapText="1"/>
      <protection hidden="1"/>
    </xf>
    <xf numFmtId="49" fontId="86" fillId="5" borderId="12">
      <alignment horizontal="center" vertical="center" textRotation="90" wrapText="1"/>
      <protection hidden="1"/>
    </xf>
    <xf numFmtId="49" fontId="86" fillId="4" borderId="12">
      <alignment horizontal="center" vertical="center" wrapText="1"/>
      <protection hidden="1"/>
    </xf>
    <xf numFmtId="49" fontId="86" fillId="5" borderId="12">
      <alignment horizontal="center" vertical="center" wrapText="1"/>
      <protection hidden="1"/>
    </xf>
    <xf numFmtId="49" fontId="86" fillId="3" borderId="12">
      <alignment horizontal="center" vertical="center" textRotation="90" wrapText="1"/>
      <protection hidden="1"/>
    </xf>
    <xf numFmtId="0" fontId="23" fillId="0" borderId="1">
      <alignment wrapText="1"/>
      <protection locked="0"/>
    </xf>
  </cellStyleXfs>
  <cellXfs count="321">
    <xf numFmtId="0" fontId="0" fillId="0" borderId="0" xfId="0"/>
    <xf numFmtId="0" fontId="2" fillId="0" borderId="0" xfId="0" applyFont="1"/>
    <xf numFmtId="0" fontId="4" fillId="0" borderId="0" xfId="0" applyFont="1"/>
    <xf numFmtId="0" fontId="2" fillId="0" borderId="0" xfId="0" applyFont="1" applyProtection="1">
      <protection locked="0"/>
    </xf>
    <xf numFmtId="0" fontId="2" fillId="0" borderId="0" xfId="0" applyFont="1" applyProtection="1">
      <protection hidden="1"/>
    </xf>
    <xf numFmtId="49" fontId="4" fillId="0" borderId="0" xfId="0" applyNumberFormat="1" applyFont="1" applyAlignment="1" applyProtection="1">
      <alignment vertical="center"/>
      <protection locked="0"/>
    </xf>
    <xf numFmtId="0" fontId="4" fillId="4" borderId="11" xfId="0" applyFont="1" applyFill="1" applyBorder="1"/>
    <xf numFmtId="0" fontId="4" fillId="4" borderId="14" xfId="0" applyFont="1" applyFill="1" applyBorder="1"/>
    <xf numFmtId="0" fontId="4" fillId="4" borderId="16" xfId="0" applyFont="1" applyFill="1" applyBorder="1"/>
    <xf numFmtId="0" fontId="4" fillId="4" borderId="4" xfId="0" applyFont="1" applyFill="1" applyBorder="1"/>
    <xf numFmtId="0" fontId="4" fillId="4" borderId="16" xfId="0" applyFont="1" applyFill="1" applyBorder="1" applyAlignment="1">
      <alignment horizontal="left" vertical="center"/>
    </xf>
    <xf numFmtId="0" fontId="4" fillId="4" borderId="14" xfId="0" applyFont="1" applyFill="1" applyBorder="1" applyAlignment="1">
      <alignment horizontal="left" vertical="center"/>
    </xf>
    <xf numFmtId="0" fontId="4" fillId="0" borderId="6" xfId="0" applyFont="1" applyBorder="1"/>
    <xf numFmtId="0" fontId="4" fillId="0" borderId="2" xfId="0" applyFont="1" applyBorder="1"/>
    <xf numFmtId="0" fontId="15" fillId="0" borderId="0" xfId="0" applyFont="1"/>
    <xf numFmtId="0" fontId="4" fillId="2" borderId="0" xfId="0" applyFont="1" applyFill="1" applyAlignment="1" applyProtection="1">
      <alignment horizontal="left" vertical="center"/>
      <protection locked="0"/>
    </xf>
    <xf numFmtId="0" fontId="4" fillId="0" borderId="0" xfId="0" applyFont="1" applyAlignment="1">
      <alignment horizontal="left" vertical="center"/>
    </xf>
    <xf numFmtId="49" fontId="12" fillId="5" borderId="32" xfId="0" applyNumberFormat="1" applyFont="1" applyFill="1" applyBorder="1" applyAlignment="1" applyProtection="1">
      <alignment horizontal="center" vertical="center" textRotation="90" wrapText="1"/>
      <protection hidden="1"/>
    </xf>
    <xf numFmtId="0" fontId="4" fillId="4" borderId="10" xfId="0" applyFont="1" applyFill="1" applyBorder="1" applyAlignment="1">
      <alignment horizontal="left"/>
    </xf>
    <xf numFmtId="0" fontId="4" fillId="4" borderId="20" xfId="0" applyFont="1" applyFill="1" applyBorder="1" applyAlignment="1">
      <alignment horizontal="left"/>
    </xf>
    <xf numFmtId="0" fontId="4" fillId="4" borderId="11" xfId="0" applyFont="1" applyFill="1" applyBorder="1" applyAlignment="1">
      <alignment horizontal="left"/>
    </xf>
    <xf numFmtId="0" fontId="4" fillId="4" borderId="13" xfId="0" applyFont="1" applyFill="1" applyBorder="1" applyAlignment="1">
      <alignment horizontal="left"/>
    </xf>
    <xf numFmtId="49" fontId="4" fillId="2" borderId="18" xfId="0" applyNumberFormat="1" applyFont="1" applyFill="1" applyBorder="1" applyAlignment="1" applyProtection="1">
      <alignment horizontal="left" vertical="center"/>
      <protection locked="0"/>
    </xf>
    <xf numFmtId="0" fontId="4" fillId="2" borderId="15" xfId="0" applyFont="1" applyFill="1" applyBorder="1" applyAlignment="1" applyProtection="1">
      <alignment horizontal="left" vertical="center"/>
      <protection locked="0"/>
    </xf>
    <xf numFmtId="0" fontId="4" fillId="3" borderId="19" xfId="0" applyFont="1" applyFill="1" applyBorder="1" applyAlignment="1">
      <alignment vertical="center"/>
    </xf>
    <xf numFmtId="0" fontId="4" fillId="3" borderId="3" xfId="0" applyFont="1" applyFill="1" applyBorder="1" applyAlignment="1">
      <alignment vertical="center"/>
    </xf>
    <xf numFmtId="0" fontId="4" fillId="3" borderId="8" xfId="0" applyFont="1" applyFill="1" applyBorder="1" applyAlignment="1">
      <alignment vertical="center"/>
    </xf>
    <xf numFmtId="0" fontId="4" fillId="3" borderId="9" xfId="0" applyFont="1" applyFill="1" applyBorder="1" applyAlignment="1">
      <alignment vertical="center"/>
    </xf>
    <xf numFmtId="0" fontId="4" fillId="4" borderId="0" xfId="0" applyFont="1" applyFill="1"/>
    <xf numFmtId="0" fontId="4" fillId="0" borderId="0" xfId="0" applyFont="1" applyAlignment="1" applyProtection="1">
      <alignment horizontal="left"/>
      <protection locked="0"/>
    </xf>
    <xf numFmtId="0" fontId="4" fillId="4" borderId="35" xfId="0" applyFont="1" applyFill="1" applyBorder="1"/>
    <xf numFmtId="0" fontId="4" fillId="0" borderId="34" xfId="0" applyFont="1" applyBorder="1" applyAlignment="1" applyProtection="1">
      <alignment horizontal="left"/>
      <protection locked="0"/>
    </xf>
    <xf numFmtId="0" fontId="4" fillId="4" borderId="6" xfId="0" applyFont="1" applyFill="1" applyBorder="1"/>
    <xf numFmtId="0" fontId="4" fillId="4" borderId="12" xfId="0" applyFont="1" applyFill="1" applyBorder="1"/>
    <xf numFmtId="0" fontId="4" fillId="4" borderId="13" xfId="0" applyFont="1" applyFill="1" applyBorder="1"/>
    <xf numFmtId="0" fontId="4" fillId="0" borderId="2" xfId="0" applyFont="1" applyBorder="1" applyAlignment="1">
      <alignment horizontal="center"/>
    </xf>
    <xf numFmtId="0" fontId="4" fillId="0" borderId="7" xfId="0" applyFont="1" applyBorder="1"/>
    <xf numFmtId="1" fontId="4" fillId="0" borderId="15" xfId="0" applyNumberFormat="1" applyFont="1" applyBorder="1" applyAlignment="1" applyProtection="1">
      <alignment horizontal="left"/>
      <protection locked="0"/>
    </xf>
    <xf numFmtId="1" fontId="4" fillId="2" borderId="15" xfId="0" applyNumberFormat="1" applyFont="1" applyFill="1" applyBorder="1" applyAlignment="1" applyProtection="1">
      <alignment horizontal="left" vertical="center"/>
      <protection locked="0"/>
    </xf>
    <xf numFmtId="166" fontId="4" fillId="0" borderId="15" xfId="0" applyNumberFormat="1" applyFont="1" applyBorder="1" applyAlignment="1" applyProtection="1">
      <alignment horizontal="left"/>
      <protection locked="0"/>
    </xf>
    <xf numFmtId="2" fontId="4" fillId="0" borderId="15" xfId="0" applyNumberFormat="1" applyFont="1" applyBorder="1" applyAlignment="1" applyProtection="1">
      <alignment horizontal="left"/>
      <protection locked="0"/>
    </xf>
    <xf numFmtId="2" fontId="4" fillId="0" borderId="18" xfId="0" applyNumberFormat="1" applyFont="1" applyBorder="1" applyAlignment="1" applyProtection="1">
      <alignment horizontal="left"/>
      <protection locked="0"/>
    </xf>
    <xf numFmtId="0" fontId="4" fillId="2" borderId="18" xfId="0" applyFont="1" applyFill="1" applyBorder="1" applyAlignment="1" applyProtection="1">
      <alignment horizontal="left" vertical="center"/>
      <protection locked="0"/>
    </xf>
    <xf numFmtId="0" fontId="4" fillId="4" borderId="36" xfId="0" applyFont="1" applyFill="1" applyBorder="1" applyAlignment="1">
      <alignment horizontal="center"/>
    </xf>
    <xf numFmtId="0" fontId="4" fillId="4" borderId="14" xfId="0" applyFont="1" applyFill="1" applyBorder="1" applyAlignment="1">
      <alignment horizontal="center"/>
    </xf>
    <xf numFmtId="0" fontId="4" fillId="4" borderId="16" xfId="0" applyFont="1" applyFill="1" applyBorder="1" applyAlignment="1">
      <alignment horizontal="center"/>
    </xf>
    <xf numFmtId="49" fontId="4" fillId="0" borderId="15" xfId="0" applyNumberFormat="1" applyFont="1" applyBorder="1" applyAlignment="1" applyProtection="1">
      <alignment horizontal="left" vertical="center"/>
      <protection locked="0"/>
    </xf>
    <xf numFmtId="0" fontId="4" fillId="0" borderId="13" xfId="0" applyFont="1" applyBorder="1" applyAlignment="1" applyProtection="1">
      <alignment horizontal="left" vertical="center"/>
      <protection locked="0"/>
    </xf>
    <xf numFmtId="0" fontId="4" fillId="0" borderId="18" xfId="0" applyFont="1" applyBorder="1" applyAlignment="1" applyProtection="1">
      <alignment horizontal="left" vertical="center"/>
      <protection locked="0"/>
    </xf>
    <xf numFmtId="49" fontId="4" fillId="4" borderId="13" xfId="0" applyNumberFormat="1" applyFont="1" applyFill="1" applyBorder="1" applyAlignment="1" applyProtection="1">
      <alignment horizontal="left" vertical="center"/>
      <protection locked="0"/>
    </xf>
    <xf numFmtId="49" fontId="4" fillId="4" borderId="15" xfId="0" applyNumberFormat="1" applyFont="1" applyFill="1" applyBorder="1" applyAlignment="1" applyProtection="1">
      <alignment horizontal="left" vertical="center"/>
      <protection locked="0"/>
    </xf>
    <xf numFmtId="49" fontId="4" fillId="4" borderId="18" xfId="0" applyNumberFormat="1" applyFont="1" applyFill="1" applyBorder="1" applyAlignment="1" applyProtection="1">
      <alignment horizontal="left" vertical="center"/>
      <protection locked="0"/>
    </xf>
    <xf numFmtId="0" fontId="16" fillId="0" borderId="0" xfId="0" applyFont="1" applyProtection="1">
      <protection hidden="1"/>
    </xf>
    <xf numFmtId="0" fontId="6" fillId="0" borderId="0" xfId="0" applyFont="1" applyAlignment="1" applyProtection="1">
      <alignment horizontal="center" vertical="center"/>
      <protection hidden="1"/>
    </xf>
    <xf numFmtId="0" fontId="4" fillId="3" borderId="15" xfId="0" applyFont="1" applyFill="1" applyBorder="1" applyAlignment="1" applyProtection="1">
      <alignment horizontal="left" vertical="center"/>
      <protection locked="0"/>
    </xf>
    <xf numFmtId="165" fontId="4" fillId="3" borderId="15" xfId="0" applyNumberFormat="1" applyFont="1" applyFill="1" applyBorder="1" applyAlignment="1" applyProtection="1">
      <alignment horizontal="left" vertical="center"/>
      <protection locked="0"/>
    </xf>
    <xf numFmtId="14" fontId="4" fillId="3" borderId="15" xfId="0" applyNumberFormat="1" applyFont="1" applyFill="1" applyBorder="1" applyAlignment="1" applyProtection="1">
      <alignment horizontal="left"/>
      <protection locked="0"/>
    </xf>
    <xf numFmtId="0" fontId="11" fillId="3" borderId="37" xfId="19" applyFill="1" applyBorder="1" applyAlignment="1" applyProtection="1">
      <alignment horizontal="right" vertical="center"/>
    </xf>
    <xf numFmtId="0" fontId="4" fillId="3" borderId="5" xfId="0" applyFont="1" applyFill="1" applyBorder="1"/>
    <xf numFmtId="0" fontId="28" fillId="3" borderId="38" xfId="19" applyFont="1" applyFill="1" applyBorder="1" applyAlignment="1">
      <alignment horizontal="left" vertical="center"/>
    </xf>
    <xf numFmtId="0" fontId="0" fillId="3" borderId="1" xfId="0" applyFill="1" applyBorder="1" applyAlignment="1">
      <alignment horizontal="center"/>
    </xf>
    <xf numFmtId="0" fontId="22" fillId="4" borderId="1" xfId="0" applyFont="1" applyFill="1" applyBorder="1"/>
    <xf numFmtId="0" fontId="30" fillId="0" borderId="0" xfId="0" applyFont="1" applyProtection="1">
      <protection locked="0"/>
    </xf>
    <xf numFmtId="49" fontId="31" fillId="2" borderId="39" xfId="0" applyNumberFormat="1" applyFont="1" applyFill="1" applyBorder="1" applyAlignment="1">
      <alignment horizontal="left" vertical="center"/>
    </xf>
    <xf numFmtId="0" fontId="22" fillId="25" borderId="1" xfId="0" applyFont="1" applyFill="1" applyBorder="1"/>
    <xf numFmtId="0" fontId="0" fillId="25" borderId="39" xfId="0" applyFill="1" applyBorder="1" applyAlignment="1">
      <alignment horizontal="left"/>
    </xf>
    <xf numFmtId="0" fontId="31" fillId="2" borderId="39" xfId="0" applyFont="1" applyFill="1" applyBorder="1" applyAlignment="1">
      <alignment horizontal="left" vertical="center"/>
    </xf>
    <xf numFmtId="0" fontId="32" fillId="2" borderId="39" xfId="0" applyFont="1" applyFill="1" applyBorder="1" applyAlignment="1">
      <alignment horizontal="left" vertical="center"/>
    </xf>
    <xf numFmtId="0" fontId="0" fillId="0" borderId="0" xfId="0" applyProtection="1">
      <protection locked="0"/>
    </xf>
    <xf numFmtId="0" fontId="0" fillId="0" borderId="0" xfId="0" applyAlignment="1">
      <alignment wrapText="1"/>
    </xf>
    <xf numFmtId="0" fontId="22" fillId="21" borderId="1" xfId="0" applyFont="1" applyFill="1" applyBorder="1"/>
    <xf numFmtId="0" fontId="0" fillId="0" borderId="0" xfId="0" applyAlignment="1">
      <alignment horizontal="center"/>
    </xf>
    <xf numFmtId="0" fontId="0" fillId="21" borderId="1" xfId="0" applyFill="1" applyBorder="1"/>
    <xf numFmtId="0" fontId="31" fillId="0" borderId="0" xfId="0" applyFont="1"/>
    <xf numFmtId="0" fontId="33" fillId="0" borderId="0" xfId="0" applyFont="1" applyAlignment="1">
      <alignment vertical="center"/>
    </xf>
    <xf numFmtId="0" fontId="0" fillId="24" borderId="1" xfId="0" applyFill="1" applyBorder="1"/>
    <xf numFmtId="0" fontId="0" fillId="3" borderId="1" xfId="0" applyFill="1" applyBorder="1" applyAlignment="1">
      <alignment horizontal="center" wrapText="1"/>
    </xf>
    <xf numFmtId="0" fontId="22" fillId="21" borderId="1" xfId="0" applyFont="1" applyFill="1" applyBorder="1" applyAlignment="1">
      <alignment wrapText="1"/>
    </xf>
    <xf numFmtId="0" fontId="0" fillId="24" borderId="1" xfId="0" applyFill="1" applyBorder="1" applyAlignment="1">
      <alignment wrapText="1"/>
    </xf>
    <xf numFmtId="0" fontId="0" fillId="26" borderId="1" xfId="0" applyFill="1" applyBorder="1" applyAlignment="1">
      <alignment wrapText="1"/>
    </xf>
    <xf numFmtId="0" fontId="21" fillId="24" borderId="40" xfId="0" applyFont="1" applyFill="1" applyBorder="1" applyAlignment="1">
      <alignment wrapText="1"/>
    </xf>
    <xf numFmtId="0" fontId="34" fillId="4" borderId="1" xfId="0" applyFont="1" applyFill="1" applyBorder="1" applyAlignment="1" applyProtection="1">
      <alignment horizontal="left" wrapText="1"/>
      <protection locked="0"/>
    </xf>
    <xf numFmtId="0" fontId="34" fillId="27" borderId="1" xfId="0" applyFont="1" applyFill="1" applyBorder="1" applyAlignment="1" applyProtection="1">
      <alignment horizontal="left" wrapText="1"/>
      <protection locked="0"/>
    </xf>
    <xf numFmtId="0" fontId="35" fillId="28" borderId="1" xfId="0" applyFont="1" applyFill="1" applyBorder="1" applyAlignment="1" applyProtection="1">
      <alignment horizontal="left" wrapText="1"/>
      <protection locked="0"/>
    </xf>
    <xf numFmtId="0" fontId="35" fillId="22" borderId="1" xfId="0" applyFont="1" applyFill="1" applyBorder="1" applyAlignment="1">
      <alignment wrapText="1"/>
    </xf>
    <xf numFmtId="0" fontId="35" fillId="22" borderId="1" xfId="0" applyFont="1" applyFill="1" applyBorder="1" applyAlignment="1" applyProtection="1">
      <alignment horizontal="left" wrapText="1"/>
      <protection locked="0"/>
    </xf>
    <xf numFmtId="0" fontId="35" fillId="30" borderId="1" xfId="0" applyFont="1" applyFill="1" applyBorder="1" applyAlignment="1" applyProtection="1">
      <alignment horizontal="left" wrapText="1"/>
      <protection locked="0"/>
    </xf>
    <xf numFmtId="0" fontId="35" fillId="31" borderId="1" xfId="0" applyFont="1" applyFill="1" applyBorder="1" applyAlignment="1" applyProtection="1">
      <alignment horizontal="left" wrapText="1"/>
      <protection locked="0"/>
    </xf>
    <xf numFmtId="0" fontId="35" fillId="25" borderId="1" xfId="0" applyFont="1" applyFill="1" applyBorder="1" applyAlignment="1" applyProtection="1">
      <alignment horizontal="left" wrapText="1"/>
      <protection locked="0"/>
    </xf>
    <xf numFmtId="0" fontId="21" fillId="25" borderId="1" xfId="0" applyFont="1" applyFill="1" applyBorder="1" applyAlignment="1" applyProtection="1">
      <alignment horizontal="left" wrapText="1"/>
      <protection locked="0"/>
    </xf>
    <xf numFmtId="0" fontId="0" fillId="0" borderId="1" xfId="0" applyBorder="1"/>
    <xf numFmtId="0" fontId="37" fillId="3" borderId="1" xfId="0" applyFont="1" applyFill="1" applyBorder="1" applyAlignment="1">
      <alignment horizontal="center" wrapText="1"/>
    </xf>
    <xf numFmtId="0" fontId="37" fillId="0" borderId="1" xfId="0" applyFont="1" applyBorder="1" applyAlignment="1">
      <alignment wrapText="1"/>
    </xf>
    <xf numFmtId="0" fontId="0" fillId="0" borderId="1" xfId="0" applyBorder="1" applyAlignment="1">
      <alignment wrapText="1"/>
    </xf>
    <xf numFmtId="0" fontId="37" fillId="0" borderId="39" xfId="0" applyFont="1" applyBorder="1" applyAlignment="1">
      <alignment wrapText="1"/>
    </xf>
    <xf numFmtId="0" fontId="21" fillId="0" borderId="41" xfId="0" applyFont="1" applyBorder="1" applyAlignment="1">
      <alignment wrapText="1"/>
    </xf>
    <xf numFmtId="0" fontId="37" fillId="3" borderId="1" xfId="0" applyFont="1" applyFill="1" applyBorder="1" applyAlignment="1">
      <alignment wrapText="1"/>
    </xf>
    <xf numFmtId="0" fontId="37" fillId="23" borderId="1" xfId="0" applyFont="1" applyFill="1" applyBorder="1" applyAlignment="1">
      <alignment wrapText="1"/>
    </xf>
    <xf numFmtId="0" fontId="21" fillId="0" borderId="1" xfId="0" applyFont="1" applyBorder="1" applyAlignment="1">
      <alignment wrapText="1"/>
    </xf>
    <xf numFmtId="0" fontId="37" fillId="0" borderId="0" xfId="0" applyFont="1" applyAlignment="1">
      <alignment wrapText="1"/>
    </xf>
    <xf numFmtId="0" fontId="37" fillId="0" borderId="41" xfId="0" applyFont="1" applyBorder="1" applyAlignment="1">
      <alignment wrapText="1"/>
    </xf>
    <xf numFmtId="0" fontId="33" fillId="0" borderId="1" xfId="0" applyFont="1" applyBorder="1" applyAlignment="1">
      <alignment vertical="center" wrapText="1"/>
    </xf>
    <xf numFmtId="0" fontId="40" fillId="0" borderId="1" xfId="0" applyFont="1" applyBorder="1" applyAlignment="1">
      <alignment vertical="center" wrapText="1"/>
    </xf>
    <xf numFmtId="0" fontId="41" fillId="0" borderId="41" xfId="0" applyFont="1" applyBorder="1" applyAlignment="1">
      <alignment vertical="center" wrapText="1"/>
    </xf>
    <xf numFmtId="0" fontId="40" fillId="3" borderId="1" xfId="0" applyFont="1" applyFill="1" applyBorder="1" applyAlignment="1">
      <alignment vertical="center" wrapText="1"/>
    </xf>
    <xf numFmtId="0" fontId="0" fillId="0" borderId="39" xfId="0" applyBorder="1"/>
    <xf numFmtId="0" fontId="42" fillId="0" borderId="1" xfId="0" applyFont="1" applyBorder="1" applyAlignment="1">
      <alignment wrapText="1"/>
    </xf>
    <xf numFmtId="0" fontId="21" fillId="5" borderId="1" xfId="0" applyFont="1" applyFill="1" applyBorder="1" applyAlignment="1">
      <alignment wrapText="1"/>
    </xf>
    <xf numFmtId="0" fontId="4" fillId="4" borderId="45" xfId="0" applyFont="1" applyFill="1" applyBorder="1" applyAlignment="1">
      <alignment horizontal="left"/>
    </xf>
    <xf numFmtId="0" fontId="4" fillId="4" borderId="46" xfId="0" applyFont="1" applyFill="1" applyBorder="1" applyAlignment="1">
      <alignment horizontal="left"/>
    </xf>
    <xf numFmtId="0" fontId="4" fillId="4" borderId="47" xfId="0" applyFont="1" applyFill="1" applyBorder="1"/>
    <xf numFmtId="0" fontId="0" fillId="0" borderId="51" xfId="0" applyBorder="1" applyAlignment="1">
      <alignment horizontal="left" vertical="center"/>
    </xf>
    <xf numFmtId="0" fontId="0" fillId="0" borderId="33" xfId="0" applyBorder="1" applyAlignment="1">
      <alignment horizontal="left" vertical="center"/>
    </xf>
    <xf numFmtId="0" fontId="2" fillId="0" borderId="0" xfId="0" applyFont="1" applyAlignment="1" applyProtection="1">
      <alignment textRotation="90"/>
      <protection hidden="1"/>
    </xf>
    <xf numFmtId="0" fontId="2" fillId="0" borderId="0" xfId="0" applyFont="1" applyAlignment="1" applyProtection="1">
      <alignment textRotation="90"/>
      <protection locked="0"/>
    </xf>
    <xf numFmtId="0" fontId="64" fillId="0" borderId="0" xfId="2"/>
    <xf numFmtId="0" fontId="18" fillId="0" borderId="21" xfId="3"/>
    <xf numFmtId="0" fontId="0" fillId="5" borderId="0" xfId="0" applyFill="1"/>
    <xf numFmtId="0" fontId="62" fillId="0" borderId="0" xfId="58"/>
    <xf numFmtId="0" fontId="68" fillId="0" borderId="53" xfId="58" applyFont="1" applyBorder="1"/>
    <xf numFmtId="0" fontId="62" fillId="0" borderId="0" xfId="59"/>
    <xf numFmtId="0" fontId="69" fillId="3" borderId="44" xfId="58" applyFont="1" applyFill="1" applyBorder="1" applyAlignment="1">
      <alignment wrapText="1"/>
    </xf>
    <xf numFmtId="0" fontId="69" fillId="3" borderId="44" xfId="58" applyFont="1" applyFill="1" applyBorder="1"/>
    <xf numFmtId="0" fontId="69" fillId="3" borderId="57" xfId="58" applyFont="1" applyFill="1" applyBorder="1"/>
    <xf numFmtId="0" fontId="62" fillId="0" borderId="54" xfId="58" applyBorder="1"/>
    <xf numFmtId="0" fontId="62" fillId="0" borderId="55" xfId="58" applyBorder="1"/>
    <xf numFmtId="0" fontId="62" fillId="23" borderId="1" xfId="58" applyFill="1" applyBorder="1" applyAlignment="1">
      <alignment horizontal="center" wrapText="1"/>
    </xf>
    <xf numFmtId="0" fontId="62" fillId="0" borderId="1" xfId="58" applyBorder="1" applyAlignment="1">
      <alignment wrapText="1"/>
    </xf>
    <xf numFmtId="0" fontId="62" fillId="0" borderId="39" xfId="58" applyBorder="1" applyAlignment="1">
      <alignment horizontal="center" wrapText="1"/>
    </xf>
    <xf numFmtId="0" fontId="62" fillId="23" borderId="1" xfId="58" applyFill="1" applyBorder="1" applyAlignment="1">
      <alignment horizontal="center"/>
    </xf>
    <xf numFmtId="0" fontId="62" fillId="5" borderId="1" xfId="58" applyFill="1" applyBorder="1"/>
    <xf numFmtId="49" fontId="62" fillId="0" borderId="39" xfId="58" applyNumberFormat="1" applyBorder="1" applyAlignment="1">
      <alignment horizontal="center"/>
    </xf>
    <xf numFmtId="0" fontId="62" fillId="23" borderId="58" xfId="58" applyFill="1" applyBorder="1" applyAlignment="1">
      <alignment horizontal="center"/>
    </xf>
    <xf numFmtId="0" fontId="62" fillId="5" borderId="58" xfId="58" applyFill="1" applyBorder="1"/>
    <xf numFmtId="49" fontId="62" fillId="0" borderId="59" xfId="58" applyNumberFormat="1" applyBorder="1" applyAlignment="1">
      <alignment horizontal="center"/>
    </xf>
    <xf numFmtId="0" fontId="35" fillId="0" borderId="1" xfId="58" applyFont="1" applyBorder="1" applyAlignment="1">
      <alignment horizontal="center" wrapText="1"/>
    </xf>
    <xf numFmtId="0" fontId="35" fillId="0" borderId="1" xfId="58" applyFont="1" applyBorder="1" applyAlignment="1">
      <alignment wrapText="1"/>
    </xf>
    <xf numFmtId="0" fontId="62" fillId="0" borderId="1" xfId="58" applyBorder="1" applyAlignment="1">
      <alignment horizontal="center"/>
    </xf>
    <xf numFmtId="0" fontId="62" fillId="0" borderId="58" xfId="58" applyBorder="1" applyAlignment="1">
      <alignment horizontal="center"/>
    </xf>
    <xf numFmtId="0" fontId="70" fillId="2" borderId="0" xfId="0" applyFont="1" applyFill="1"/>
    <xf numFmtId="0" fontId="21" fillId="0" borderId="0" xfId="0" applyFont="1"/>
    <xf numFmtId="0" fontId="26" fillId="3" borderId="0" xfId="0" applyFont="1" applyFill="1" applyAlignment="1" applyProtection="1">
      <alignment horizontal="center" vertical="center"/>
      <protection hidden="1"/>
    </xf>
    <xf numFmtId="0" fontId="9" fillId="0" borderId="52" xfId="0" applyFont="1" applyBorder="1" applyAlignment="1">
      <alignment horizontal="left" vertical="center" wrapText="1"/>
    </xf>
    <xf numFmtId="0" fontId="9" fillId="0" borderId="0" xfId="0" applyFont="1" applyAlignment="1" applyProtection="1">
      <alignment horizontal="left" vertical="center" wrapText="1"/>
      <protection hidden="1"/>
    </xf>
    <xf numFmtId="0" fontId="9" fillId="0" borderId="0" xfId="0" applyFont="1" applyAlignment="1" applyProtection="1">
      <alignment horizontal="left" vertical="center" wrapText="1"/>
      <protection locked="0"/>
    </xf>
    <xf numFmtId="0" fontId="35" fillId="23" borderId="1" xfId="0" applyFont="1" applyFill="1" applyBorder="1" applyAlignment="1">
      <alignment wrapText="1"/>
    </xf>
    <xf numFmtId="0" fontId="35" fillId="23" borderId="1" xfId="0" applyFont="1" applyFill="1" applyBorder="1"/>
    <xf numFmtId="0" fontId="35" fillId="23" borderId="41" xfId="0" applyFont="1" applyFill="1" applyBorder="1" applyAlignment="1">
      <alignment wrapText="1"/>
    </xf>
    <xf numFmtId="0" fontId="35" fillId="23" borderId="42" xfId="0" applyFont="1" applyFill="1" applyBorder="1" applyAlignment="1">
      <alignment wrapText="1"/>
    </xf>
    <xf numFmtId="0" fontId="35" fillId="23" borderId="43" xfId="0" applyFont="1" applyFill="1" applyBorder="1" applyAlignment="1">
      <alignment wrapText="1"/>
    </xf>
    <xf numFmtId="0" fontId="4" fillId="4" borderId="49" xfId="0" applyFont="1" applyFill="1" applyBorder="1"/>
    <xf numFmtId="0" fontId="76" fillId="0" borderId="0" xfId="0" applyFont="1"/>
    <xf numFmtId="0" fontId="77" fillId="0" borderId="0" xfId="0" applyFont="1"/>
    <xf numFmtId="0" fontId="27" fillId="0" borderId="5" xfId="0" applyFont="1" applyBorder="1" applyProtection="1">
      <protection locked="0"/>
    </xf>
    <xf numFmtId="0" fontId="0" fillId="5" borderId="0" xfId="0" applyFill="1" applyProtection="1">
      <protection locked="0"/>
    </xf>
    <xf numFmtId="49" fontId="64" fillId="2" borderId="21" xfId="2" applyNumberFormat="1" applyFill="1" applyBorder="1" applyAlignment="1" applyProtection="1">
      <alignment horizontal="left" vertical="center"/>
    </xf>
    <xf numFmtId="0" fontId="9" fillId="0" borderId="0" xfId="0" applyFont="1" applyProtection="1">
      <protection locked="0"/>
    </xf>
    <xf numFmtId="14" fontId="9" fillId="0" borderId="0" xfId="0" applyNumberFormat="1" applyFont="1" applyProtection="1">
      <protection locked="0"/>
    </xf>
    <xf numFmtId="0" fontId="75" fillId="5" borderId="0" xfId="0" applyFont="1" applyFill="1" applyProtection="1">
      <protection locked="0"/>
    </xf>
    <xf numFmtId="0" fontId="4" fillId="0" borderId="30" xfId="0" applyFont="1" applyBorder="1" applyAlignment="1" applyProtection="1">
      <alignment horizontal="left"/>
      <protection locked="0"/>
    </xf>
    <xf numFmtId="0" fontId="4" fillId="0" borderId="1" xfId="0" applyFont="1" applyBorder="1" applyAlignment="1" applyProtection="1">
      <alignment horizontal="left"/>
      <protection locked="0"/>
    </xf>
    <xf numFmtId="0" fontId="4" fillId="0" borderId="17" xfId="0" applyFont="1" applyBorder="1" applyProtection="1">
      <protection locked="0"/>
    </xf>
    <xf numFmtId="0" fontId="78" fillId="0" borderId="0" xfId="0" applyFont="1"/>
    <xf numFmtId="49" fontId="78" fillId="0" borderId="0" xfId="0" applyNumberFormat="1" applyFont="1"/>
    <xf numFmtId="49" fontId="4" fillId="3" borderId="5" xfId="0" applyNumberFormat="1" applyFont="1" applyFill="1" applyBorder="1" applyAlignment="1" applyProtection="1">
      <alignment horizontal="left" vertical="center"/>
      <protection locked="0"/>
    </xf>
    <xf numFmtId="0" fontId="11" fillId="0" borderId="48" xfId="19" applyBorder="1" applyAlignment="1" applyProtection="1">
      <alignment horizontal="left" wrapText="1"/>
      <protection locked="0"/>
    </xf>
    <xf numFmtId="0" fontId="48" fillId="0" borderId="50" xfId="0" applyFont="1" applyBorder="1" applyAlignment="1" applyProtection="1">
      <alignment horizontal="left" wrapText="1"/>
      <protection locked="0"/>
    </xf>
    <xf numFmtId="49" fontId="7" fillId="0" borderId="1" xfId="76">
      <alignment horizontal="center" vertical="center"/>
      <protection locked="0"/>
    </xf>
    <xf numFmtId="49" fontId="2" fillId="0" borderId="1" xfId="77" applyFill="1">
      <alignment horizontal="center" vertical="center" wrapText="1"/>
      <protection locked="0"/>
    </xf>
    <xf numFmtId="49" fontId="2" fillId="2" borderId="1" xfId="77" applyFill="1">
      <alignment horizontal="center" vertical="center" wrapText="1"/>
      <protection locked="0"/>
    </xf>
    <xf numFmtId="14" fontId="0" fillId="0" borderId="0" xfId="0" applyNumberFormat="1"/>
    <xf numFmtId="0" fontId="80" fillId="0" borderId="0" xfId="0" applyFont="1" applyAlignment="1">
      <alignment vertical="center"/>
    </xf>
    <xf numFmtId="0" fontId="23" fillId="0" borderId="0" xfId="0" applyFont="1" applyAlignment="1">
      <alignment vertical="center"/>
    </xf>
    <xf numFmtId="0" fontId="18" fillId="0" borderId="21" xfId="3" applyAlignment="1">
      <alignment horizontal="left" vertical="center" indent="3"/>
    </xf>
    <xf numFmtId="0" fontId="23" fillId="0" borderId="0" xfId="0" applyFont="1" applyAlignment="1">
      <alignment horizontal="left" vertical="center" indent="5"/>
    </xf>
    <xf numFmtId="0" fontId="23" fillId="0" borderId="0" xfId="0" applyFont="1"/>
    <xf numFmtId="0" fontId="23" fillId="0" borderId="0" xfId="0" applyFont="1" applyAlignment="1">
      <alignment horizontal="left" vertical="center" indent="2"/>
    </xf>
    <xf numFmtId="0" fontId="2" fillId="5" borderId="0" xfId="0" applyFont="1" applyFill="1"/>
    <xf numFmtId="0" fontId="22" fillId="5" borderId="0" xfId="0" applyFont="1" applyFill="1"/>
    <xf numFmtId="0" fontId="27" fillId="21" borderId="4" xfId="0" applyFont="1" applyFill="1" applyBorder="1"/>
    <xf numFmtId="0" fontId="23" fillId="0" borderId="1" xfId="92">
      <alignment wrapText="1"/>
      <protection locked="0"/>
    </xf>
    <xf numFmtId="0" fontId="87" fillId="0" borderId="53" xfId="58" applyFont="1" applyBorder="1"/>
    <xf numFmtId="0" fontId="87" fillId="0" borderId="56" xfId="58" applyFont="1" applyBorder="1"/>
    <xf numFmtId="0" fontId="87" fillId="0" borderId="42" xfId="58" applyFont="1" applyBorder="1"/>
    <xf numFmtId="0" fontId="87" fillId="2" borderId="40" xfId="59" applyFont="1" applyFill="1" applyBorder="1" applyProtection="1">
      <protection hidden="1"/>
    </xf>
    <xf numFmtId="0" fontId="87" fillId="2" borderId="41" xfId="59" applyFont="1" applyFill="1" applyBorder="1" applyAlignment="1" applyProtection="1">
      <alignment wrapText="1"/>
      <protection hidden="1"/>
    </xf>
    <xf numFmtId="0" fontId="62" fillId="0" borderId="41" xfId="58" applyBorder="1"/>
    <xf numFmtId="0" fontId="62" fillId="0" borderId="62" xfId="58" applyBorder="1"/>
    <xf numFmtId="0" fontId="87" fillId="2" borderId="41" xfId="59" applyFont="1" applyFill="1" applyBorder="1" applyAlignment="1" applyProtection="1">
      <alignment horizontal="center"/>
      <protection hidden="1"/>
    </xf>
    <xf numFmtId="0" fontId="88" fillId="0" borderId="0" xfId="19" applyFont="1" applyBorder="1" applyAlignment="1" applyProtection="1">
      <alignment horizontal="left"/>
    </xf>
    <xf numFmtId="0" fontId="4" fillId="0" borderId="15" xfId="0" applyFont="1" applyBorder="1" applyAlignment="1" applyProtection="1">
      <alignment horizontal="left" vertical="center"/>
      <protection locked="0"/>
    </xf>
    <xf numFmtId="0" fontId="5" fillId="0" borderId="15" xfId="0" applyFont="1" applyBorder="1" applyAlignment="1" applyProtection="1">
      <alignment horizontal="left" vertical="center"/>
      <protection locked="0"/>
    </xf>
    <xf numFmtId="165" fontId="4" fillId="0" borderId="15" xfId="0" applyNumberFormat="1" applyFont="1" applyBorder="1" applyAlignment="1" applyProtection="1">
      <alignment horizontal="left" vertical="center"/>
      <protection locked="0"/>
    </xf>
    <xf numFmtId="0" fontId="26" fillId="5" borderId="61" xfId="0" applyFont="1" applyFill="1" applyBorder="1" applyAlignment="1">
      <alignment horizontal="center"/>
    </xf>
    <xf numFmtId="49" fontId="0" fillId="0" borderId="0" xfId="0" applyNumberFormat="1" applyAlignment="1">
      <alignment horizontal="left" wrapText="1"/>
    </xf>
    <xf numFmtId="49" fontId="0" fillId="0" borderId="0" xfId="0" applyNumberFormat="1"/>
    <xf numFmtId="0" fontId="7" fillId="0" borderId="0" xfId="0" applyFont="1" applyAlignment="1" applyProtection="1">
      <alignment horizontal="left" vertical="center" wrapText="1"/>
      <protection locked="0"/>
    </xf>
    <xf numFmtId="0" fontId="93" fillId="4" borderId="14" xfId="0" applyFont="1" applyFill="1" applyBorder="1"/>
    <xf numFmtId="49" fontId="31" fillId="0" borderId="1" xfId="0" applyNumberFormat="1" applyFont="1" applyFill="1" applyBorder="1" applyAlignment="1">
      <alignment horizontal="left" vertical="center"/>
    </xf>
    <xf numFmtId="0" fontId="0" fillId="23" borderId="1" xfId="0" applyFont="1" applyFill="1" applyBorder="1"/>
    <xf numFmtId="0" fontId="0" fillId="0" borderId="1" xfId="0" applyBorder="1" applyAlignment="1">
      <alignment vertical="top"/>
    </xf>
    <xf numFmtId="49" fontId="31" fillId="0" borderId="39" xfId="0" applyNumberFormat="1" applyFont="1" applyFill="1" applyBorder="1" applyAlignment="1">
      <alignment horizontal="left" vertical="center"/>
    </xf>
    <xf numFmtId="0" fontId="74" fillId="0" borderId="39" xfId="0" applyFont="1" applyFill="1" applyBorder="1" applyAlignment="1">
      <alignment horizontal="left" vertical="center"/>
    </xf>
    <xf numFmtId="49" fontId="31" fillId="0" borderId="1" xfId="0" applyNumberFormat="1" applyFont="1" applyFill="1" applyBorder="1"/>
    <xf numFmtId="0" fontId="31" fillId="0" borderId="1" xfId="0" applyFont="1" applyFill="1" applyBorder="1"/>
    <xf numFmtId="0" fontId="31" fillId="0" borderId="0" xfId="0" applyFont="1" applyFill="1"/>
    <xf numFmtId="167" fontId="31" fillId="0" borderId="1" xfId="0" applyNumberFormat="1" applyFont="1" applyFill="1" applyBorder="1"/>
    <xf numFmtId="0" fontId="0" fillId="23" borderId="39" xfId="0" applyFont="1" applyFill="1" applyBorder="1"/>
    <xf numFmtId="0" fontId="31" fillId="2" borderId="1" xfId="0" applyFont="1" applyFill="1" applyBorder="1" applyAlignment="1">
      <alignment horizontal="left" vertical="center"/>
    </xf>
    <xf numFmtId="0" fontId="0" fillId="25" borderId="39" xfId="0" applyFont="1" applyFill="1" applyBorder="1" applyAlignment="1">
      <alignment horizontal="left" vertical="center"/>
    </xf>
    <xf numFmtId="0" fontId="0" fillId="0" borderId="0" xfId="0" applyFont="1" applyFill="1"/>
    <xf numFmtId="0" fontId="0" fillId="0" borderId="0" xfId="0" applyFont="1" applyFill="1" applyAlignment="1">
      <alignment wrapText="1"/>
    </xf>
    <xf numFmtId="49" fontId="31" fillId="2" borderId="0" xfId="0" applyNumberFormat="1" applyFont="1" applyFill="1" applyBorder="1" applyAlignment="1">
      <alignment horizontal="left" vertical="center"/>
    </xf>
    <xf numFmtId="0" fontId="31" fillId="2" borderId="0" xfId="0" applyFont="1" applyFill="1" applyBorder="1" applyAlignment="1">
      <alignment horizontal="left" vertical="center"/>
    </xf>
    <xf numFmtId="14" fontId="31" fillId="0" borderId="39" xfId="0" applyNumberFormat="1" applyFont="1" applyFill="1" applyBorder="1" applyAlignment="1">
      <alignment horizontal="left" vertical="center"/>
    </xf>
    <xf numFmtId="0" fontId="31" fillId="0" borderId="39" xfId="0" applyNumberFormat="1" applyFont="1" applyFill="1" applyBorder="1" applyAlignment="1">
      <alignment horizontal="left" vertical="center"/>
    </xf>
    <xf numFmtId="0" fontId="35" fillId="22" borderId="1" xfId="0" applyNumberFormat="1" applyFont="1" applyFill="1" applyBorder="1" applyAlignment="1" applyProtection="1">
      <alignment horizontal="left" wrapText="1"/>
      <protection locked="0"/>
    </xf>
    <xf numFmtId="0" fontId="36" fillId="22" borderId="1" xfId="0" applyNumberFormat="1" applyFont="1" applyFill="1" applyBorder="1" applyAlignment="1" applyProtection="1">
      <alignment horizontal="left" wrapText="1"/>
      <protection locked="0"/>
    </xf>
    <xf numFmtId="0" fontId="35" fillId="29" borderId="1" xfId="0" applyNumberFormat="1" applyFont="1" applyFill="1" applyBorder="1" applyAlignment="1" applyProtection="1">
      <alignment horizontal="left" wrapText="1"/>
      <protection locked="0"/>
    </xf>
    <xf numFmtId="0" fontId="35" fillId="24" borderId="1" xfId="0" applyNumberFormat="1" applyFont="1" applyFill="1" applyBorder="1" applyAlignment="1" applyProtection="1">
      <alignment horizontal="left" wrapText="1"/>
      <protection locked="0"/>
    </xf>
    <xf numFmtId="0" fontId="37" fillId="0" borderId="1" xfId="0" applyFont="1" applyFill="1" applyBorder="1" applyAlignment="1">
      <alignment wrapText="1"/>
    </xf>
    <xf numFmtId="0" fontId="0" fillId="0" borderId="1" xfId="0" applyFont="1" applyFill="1" applyBorder="1" applyAlignment="1">
      <alignment wrapText="1"/>
    </xf>
    <xf numFmtId="0" fontId="0" fillId="0" borderId="1" xfId="0" applyFont="1" applyBorder="1" applyAlignment="1">
      <alignment wrapText="1"/>
    </xf>
    <xf numFmtId="0" fontId="35" fillId="0" borderId="1" xfId="0" applyFont="1" applyFill="1" applyBorder="1" applyAlignment="1">
      <alignment wrapText="1"/>
    </xf>
    <xf numFmtId="0" fontId="0" fillId="0" borderId="1" xfId="0" applyFont="1" applyFill="1" applyBorder="1" applyAlignment="1">
      <alignment horizontal="left" wrapText="1"/>
    </xf>
    <xf numFmtId="0" fontId="21" fillId="0" borderId="1" xfId="0" applyFont="1" applyFill="1" applyBorder="1" applyAlignment="1">
      <alignment wrapText="1"/>
    </xf>
    <xf numFmtId="0" fontId="31" fillId="0" borderId="1" xfId="0" applyFont="1" applyBorder="1"/>
    <xf numFmtId="0" fontId="35" fillId="23" borderId="1" xfId="0" applyFont="1" applyFill="1" applyBorder="1" applyAlignment="1">
      <alignment horizontal="left" vertical="center"/>
    </xf>
    <xf numFmtId="0" fontId="94" fillId="0" borderId="0" xfId="0" applyFont="1"/>
    <xf numFmtId="0" fontId="95" fillId="0" borderId="0" xfId="0" applyFont="1"/>
    <xf numFmtId="49" fontId="96" fillId="2" borderId="12" xfId="0" applyNumberFormat="1" applyFont="1" applyFill="1" applyBorder="1" applyAlignment="1" applyProtection="1">
      <alignment horizontal="center" vertical="center"/>
      <protection locked="0"/>
    </xf>
    <xf numFmtId="49" fontId="96" fillId="0" borderId="1" xfId="0" applyNumberFormat="1" applyFont="1" applyBorder="1" applyAlignment="1" applyProtection="1">
      <alignment horizontal="center" vertical="center"/>
      <protection locked="0"/>
    </xf>
    <xf numFmtId="49" fontId="96" fillId="2" borderId="17" xfId="0" applyNumberFormat="1" applyFont="1" applyFill="1" applyBorder="1" applyAlignment="1" applyProtection="1">
      <alignment horizontal="center" vertical="center"/>
      <protection locked="0"/>
    </xf>
    <xf numFmtId="0" fontId="19" fillId="0" borderId="22" xfId="4"/>
    <xf numFmtId="0" fontId="97" fillId="0" borderId="0" xfId="0" applyFont="1"/>
    <xf numFmtId="0" fontId="22" fillId="0" borderId="0" xfId="0" applyFont="1"/>
    <xf numFmtId="0" fontId="82" fillId="0" borderId="0" xfId="0" applyFont="1" applyAlignment="1">
      <alignment vertical="center"/>
    </xf>
    <xf numFmtId="0" fontId="23" fillId="0" borderId="0" xfId="0" applyFont="1" applyAlignment="1"/>
    <xf numFmtId="0" fontId="23" fillId="0" borderId="0" xfId="0" applyFont="1" applyAlignment="1">
      <alignment horizontal="left" vertical="top" wrapText="1"/>
    </xf>
    <xf numFmtId="1" fontId="27" fillId="0" borderId="31" xfId="0" applyNumberFormat="1" applyFont="1" applyBorder="1" applyAlignment="1" applyProtection="1">
      <alignment horizontal="left"/>
      <protection locked="0"/>
    </xf>
    <xf numFmtId="1" fontId="27" fillId="0" borderId="15" xfId="0" applyNumberFormat="1" applyFont="1" applyBorder="1" applyAlignment="1" applyProtection="1">
      <alignment horizontal="left"/>
      <protection locked="0"/>
    </xf>
    <xf numFmtId="1" fontId="27" fillId="0" borderId="18" xfId="0" applyNumberFormat="1" applyFont="1" applyBorder="1" applyAlignment="1" applyProtection="1">
      <alignment horizontal="left"/>
      <protection locked="0"/>
    </xf>
    <xf numFmtId="0" fontId="4" fillId="0" borderId="15" xfId="0" applyFont="1" applyFill="1" applyBorder="1" applyAlignment="1" applyProtection="1">
      <alignment horizontal="left" vertical="center"/>
      <protection locked="0"/>
    </xf>
    <xf numFmtId="0" fontId="11" fillId="0" borderId="15" xfId="19" applyFill="1" applyBorder="1" applyAlignment="1" applyProtection="1">
      <alignment horizontal="left" vertical="center"/>
      <protection locked="0"/>
    </xf>
    <xf numFmtId="49" fontId="0" fillId="0" borderId="1" xfId="0" applyNumberFormat="1" applyBorder="1" applyAlignment="1">
      <alignment horizontal="left" vertical="top" wrapText="1"/>
    </xf>
    <xf numFmtId="14" fontId="0" fillId="0" borderId="1" xfId="0" applyNumberFormat="1" applyBorder="1" applyAlignment="1">
      <alignment vertical="top"/>
    </xf>
    <xf numFmtId="49" fontId="0" fillId="0" borderId="1" xfId="0" applyNumberFormat="1" applyBorder="1" applyAlignment="1">
      <alignment vertical="top"/>
    </xf>
    <xf numFmtId="0" fontId="0" fillId="0" borderId="1" xfId="0" applyFill="1" applyBorder="1" applyAlignment="1">
      <alignment vertical="top"/>
    </xf>
    <xf numFmtId="49" fontId="0" fillId="0" borderId="1" xfId="0" applyNumberFormat="1" applyBorder="1" applyAlignment="1">
      <alignment vertical="top" wrapText="1"/>
    </xf>
    <xf numFmtId="0" fontId="62" fillId="0" borderId="44" xfId="58" applyFont="1" applyBorder="1"/>
    <xf numFmtId="49" fontId="26" fillId="0" borderId="41" xfId="74" applyFont="1" applyBorder="1">
      <alignment horizontal="center" vertical="center"/>
      <protection locked="0"/>
    </xf>
    <xf numFmtId="1" fontId="26" fillId="0" borderId="1" xfId="72" applyFont="1" applyBorder="1">
      <alignment horizontal="center" vertical="center"/>
      <protection locked="0"/>
    </xf>
    <xf numFmtId="49" fontId="26" fillId="0" borderId="1" xfId="73" applyFont="1" applyBorder="1">
      <alignment horizontal="center" vertical="center" wrapText="1"/>
      <protection locked="0"/>
    </xf>
    <xf numFmtId="164" fontId="95" fillId="2" borderId="1" xfId="16" applyFont="1" applyFill="1">
      <alignment horizontal="center" vertical="top"/>
      <protection locked="0"/>
    </xf>
    <xf numFmtId="14" fontId="0" fillId="0" borderId="1" xfId="0" applyNumberFormat="1" applyBorder="1" applyAlignment="1">
      <alignment vertical="top" wrapText="1"/>
    </xf>
    <xf numFmtId="164" fontId="95" fillId="2" borderId="1" xfId="16" applyFont="1" applyFill="1" applyBorder="1">
      <alignment horizontal="center" vertical="top"/>
      <protection locked="0"/>
    </xf>
    <xf numFmtId="1" fontId="103" fillId="0" borderId="1" xfId="0" applyNumberFormat="1" applyFont="1" applyBorder="1" applyAlignment="1" applyProtection="1">
      <alignment horizontal="left" vertical="center" wrapText="1"/>
      <protection locked="0"/>
    </xf>
    <xf numFmtId="0" fontId="103" fillId="0" borderId="1" xfId="0" applyFont="1" applyBorder="1" applyAlignment="1" applyProtection="1">
      <alignment horizontal="left" vertical="center" wrapText="1"/>
      <protection locked="0"/>
    </xf>
    <xf numFmtId="0" fontId="62" fillId="5" borderId="1" xfId="58" applyFill="1" applyBorder="1" applyAlignment="1">
      <alignment wrapText="1"/>
    </xf>
    <xf numFmtId="0" fontId="23" fillId="0" borderId="1" xfId="92" applyFill="1" applyBorder="1">
      <alignment wrapText="1"/>
      <protection locked="0"/>
    </xf>
    <xf numFmtId="0" fontId="9" fillId="0" borderId="1" xfId="0" applyFont="1" applyFill="1" applyBorder="1" applyAlignment="1" applyProtection="1">
      <alignment horizontal="left" vertical="center" wrapText="1"/>
      <protection locked="0"/>
    </xf>
    <xf numFmtId="49" fontId="68" fillId="5" borderId="32" xfId="0" applyNumberFormat="1" applyFont="1" applyFill="1" applyBorder="1" applyAlignment="1" applyProtection="1">
      <alignment horizontal="left" vertical="center" wrapText="1"/>
      <protection hidden="1"/>
    </xf>
    <xf numFmtId="0" fontId="2" fillId="4" borderId="0" xfId="0" applyFont="1" applyFill="1" applyBorder="1" applyProtection="1">
      <protection locked="0"/>
    </xf>
    <xf numFmtId="0" fontId="2" fillId="4" borderId="0" xfId="0" applyFont="1" applyFill="1" applyBorder="1" applyAlignment="1" applyProtection="1">
      <alignment horizontal="center" vertical="center"/>
      <protection hidden="1"/>
    </xf>
    <xf numFmtId="0" fontId="2" fillId="4" borderId="0" xfId="0" applyFont="1" applyFill="1" applyBorder="1" applyProtection="1">
      <protection hidden="1"/>
    </xf>
    <xf numFmtId="0" fontId="29" fillId="22" borderId="0" xfId="0" applyFont="1" applyFill="1" applyBorder="1" applyProtection="1">
      <protection hidden="1"/>
    </xf>
    <xf numFmtId="0" fontId="2" fillId="22" borderId="0" xfId="0" applyFont="1" applyFill="1" applyBorder="1" applyProtection="1">
      <protection hidden="1"/>
    </xf>
    <xf numFmtId="49" fontId="12" fillId="5" borderId="65" xfId="0" applyNumberFormat="1" applyFont="1" applyFill="1" applyBorder="1" applyAlignment="1" applyProtection="1">
      <alignment horizontal="center" vertical="center" textRotation="90" wrapText="1"/>
      <protection hidden="1"/>
    </xf>
    <xf numFmtId="49" fontId="14" fillId="3" borderId="32" xfId="0" applyNumberFormat="1" applyFont="1" applyFill="1" applyBorder="1" applyAlignment="1" applyProtection="1">
      <alignment horizontal="center" vertical="center" wrapText="1"/>
      <protection hidden="1"/>
    </xf>
    <xf numFmtId="49" fontId="13" fillId="3" borderId="32" xfId="0" applyNumberFormat="1" applyFont="1" applyFill="1" applyBorder="1" applyAlignment="1" applyProtection="1">
      <alignment horizontal="center" vertical="center" wrapText="1"/>
      <protection hidden="1"/>
    </xf>
    <xf numFmtId="49" fontId="71" fillId="4" borderId="67" xfId="0" applyNumberFormat="1" applyFont="1" applyFill="1" applyBorder="1" applyAlignment="1" applyProtection="1">
      <alignment horizontal="left" vertical="center" wrapText="1"/>
      <protection hidden="1"/>
    </xf>
    <xf numFmtId="49" fontId="71" fillId="4" borderId="32" xfId="0" applyNumberFormat="1" applyFont="1" applyFill="1" applyBorder="1" applyAlignment="1" applyProtection="1">
      <alignment horizontal="left" vertical="center" wrapText="1"/>
      <protection hidden="1"/>
    </xf>
    <xf numFmtId="49" fontId="72" fillId="3" borderId="32" xfId="0" applyNumberFormat="1" applyFont="1" applyFill="1" applyBorder="1" applyAlignment="1" applyProtection="1">
      <alignment horizontal="left" vertical="center" wrapText="1"/>
      <protection hidden="1"/>
    </xf>
    <xf numFmtId="49" fontId="73" fillId="22" borderId="32" xfId="0" applyNumberFormat="1" applyFont="1" applyFill="1" applyBorder="1" applyAlignment="1" applyProtection="1">
      <alignment horizontal="left" vertical="center" wrapText="1"/>
      <protection hidden="1"/>
    </xf>
    <xf numFmtId="49" fontId="8" fillId="3" borderId="32" xfId="0" applyNumberFormat="1" applyFont="1" applyFill="1" applyBorder="1" applyAlignment="1" applyProtection="1">
      <alignment horizontal="center" vertical="center" textRotation="90" wrapText="1"/>
      <protection hidden="1"/>
    </xf>
    <xf numFmtId="49" fontId="12" fillId="5" borderId="68" xfId="0" applyNumberFormat="1" applyFont="1" applyFill="1" applyBorder="1" applyAlignment="1" applyProtection="1">
      <alignment horizontal="center" vertical="center" textRotation="90" wrapText="1"/>
      <protection hidden="1"/>
    </xf>
    <xf numFmtId="49" fontId="3" fillId="22" borderId="69" xfId="0" applyNumberFormat="1" applyFont="1" applyFill="1" applyBorder="1" applyAlignment="1" applyProtection="1">
      <alignment horizontal="center" vertical="center" textRotation="90" wrapText="1"/>
      <protection hidden="1"/>
    </xf>
    <xf numFmtId="49" fontId="3" fillId="3" borderId="69" xfId="0" applyNumberFormat="1" applyFont="1" applyFill="1" applyBorder="1" applyAlignment="1" applyProtection="1">
      <alignment horizontal="center" vertical="center" textRotation="90" wrapText="1"/>
      <protection hidden="1"/>
    </xf>
    <xf numFmtId="49" fontId="3" fillId="5" borderId="69" xfId="0" applyNumberFormat="1" applyFont="1" applyFill="1" applyBorder="1" applyAlignment="1" applyProtection="1">
      <alignment horizontal="center" vertical="center" textRotation="90" wrapText="1"/>
      <protection hidden="1"/>
    </xf>
    <xf numFmtId="49" fontId="3" fillId="5" borderId="71" xfId="0" applyNumberFormat="1" applyFont="1" applyFill="1" applyBorder="1" applyAlignment="1" applyProtection="1">
      <alignment horizontal="center" vertical="center" textRotation="90" wrapText="1"/>
      <protection hidden="1"/>
    </xf>
    <xf numFmtId="49" fontId="3" fillId="5" borderId="50" xfId="0" applyNumberFormat="1" applyFont="1" applyFill="1" applyBorder="1" applyAlignment="1" applyProtection="1">
      <alignment horizontal="center" vertical="center" textRotation="90" wrapText="1"/>
      <protection hidden="1"/>
    </xf>
    <xf numFmtId="0" fontId="0" fillId="0" borderId="1" xfId="0" applyFill="1" applyBorder="1" applyAlignment="1">
      <alignment vertical="top" wrapText="1"/>
    </xf>
    <xf numFmtId="49" fontId="105" fillId="3" borderId="66" xfId="0" applyNumberFormat="1" applyFont="1" applyFill="1" applyBorder="1" applyAlignment="1" applyProtection="1">
      <alignment horizontal="center" vertical="center" wrapText="1"/>
      <protection locked="0"/>
    </xf>
    <xf numFmtId="0" fontId="106" fillId="2" borderId="1" xfId="15" applyNumberFormat="1" applyFont="1">
      <alignment horizontal="center" vertical="center"/>
      <protection locked="0"/>
    </xf>
    <xf numFmtId="0" fontId="106" fillId="2" borderId="1" xfId="15" applyNumberFormat="1" applyFont="1" applyBorder="1">
      <alignment horizontal="center" vertical="center"/>
      <protection locked="0"/>
    </xf>
    <xf numFmtId="0" fontId="27" fillId="5" borderId="49" xfId="0" applyFont="1" applyFill="1" applyBorder="1" applyAlignment="1" applyProtection="1">
      <alignment horizontal="center" vertical="center" wrapText="1"/>
      <protection hidden="1"/>
    </xf>
    <xf numFmtId="0" fontId="27" fillId="5" borderId="69" xfId="0" applyFont="1" applyFill="1" applyBorder="1" applyAlignment="1" applyProtection="1">
      <alignment horizontal="center" vertical="center" wrapText="1"/>
      <protection hidden="1"/>
    </xf>
    <xf numFmtId="0" fontId="27" fillId="5" borderId="70" xfId="0" applyFont="1" applyFill="1" applyBorder="1" applyAlignment="1" applyProtection="1">
      <alignment horizontal="center" vertical="center" wrapText="1"/>
      <protection hidden="1"/>
    </xf>
    <xf numFmtId="49" fontId="3" fillId="3" borderId="62" xfId="0" applyNumberFormat="1" applyFont="1" applyFill="1" applyBorder="1" applyAlignment="1">
      <alignment horizontal="center" vertical="center" wrapText="1"/>
    </xf>
    <xf numFmtId="49" fontId="3" fillId="3" borderId="69" xfId="0" applyNumberFormat="1" applyFont="1" applyFill="1" applyBorder="1" applyAlignment="1" applyProtection="1">
      <alignment horizontal="center" vertical="center" wrapText="1"/>
      <protection hidden="1"/>
    </xf>
    <xf numFmtId="49" fontId="3" fillId="4" borderId="69" xfId="0" applyNumberFormat="1" applyFont="1" applyFill="1" applyBorder="1" applyAlignment="1" applyProtection="1">
      <alignment horizontal="center" vertical="center" wrapText="1"/>
      <protection hidden="1"/>
    </xf>
    <xf numFmtId="49" fontId="3" fillId="24" borderId="69" xfId="0" applyNumberFormat="1" applyFont="1" applyFill="1" applyBorder="1" applyAlignment="1" applyProtection="1">
      <alignment horizontal="center" vertical="center" wrapText="1"/>
      <protection hidden="1"/>
    </xf>
    <xf numFmtId="49" fontId="3" fillId="24" borderId="69" xfId="0" applyNumberFormat="1" applyFont="1" applyFill="1" applyBorder="1" applyAlignment="1" applyProtection="1">
      <alignment horizontal="center" vertical="center" textRotation="90" wrapText="1"/>
      <protection hidden="1"/>
    </xf>
    <xf numFmtId="0" fontId="27" fillId="0" borderId="0" xfId="0" applyFont="1" applyProtection="1">
      <protection hidden="1"/>
    </xf>
    <xf numFmtId="0" fontId="106" fillId="0" borderId="64" xfId="0" applyFont="1" applyBorder="1" applyAlignment="1" applyProtection="1">
      <alignment horizontal="center" vertical="center"/>
      <protection locked="0"/>
    </xf>
    <xf numFmtId="0" fontId="106" fillId="0" borderId="1" xfId="0" applyFont="1" applyBorder="1" applyAlignment="1" applyProtection="1">
      <alignment horizontal="center" vertical="center"/>
      <protection locked="0"/>
    </xf>
    <xf numFmtId="0" fontId="106" fillId="0" borderId="63" xfId="0" applyFont="1" applyBorder="1" applyAlignment="1" applyProtection="1">
      <alignment horizontal="left" vertical="center" wrapText="1"/>
      <protection locked="0"/>
    </xf>
    <xf numFmtId="49" fontId="106" fillId="2" borderId="1" xfId="15" applyFont="1">
      <alignment horizontal="center" vertical="center"/>
      <protection locked="0"/>
    </xf>
    <xf numFmtId="49" fontId="106" fillId="2" borderId="1" xfId="15" applyFont="1" applyBorder="1">
      <alignment horizontal="center" vertical="center"/>
      <protection locked="0"/>
    </xf>
    <xf numFmtId="49" fontId="26" fillId="2" borderId="1" xfId="15" applyFont="1">
      <alignment horizontal="center" vertical="center"/>
      <protection locked="0"/>
    </xf>
    <xf numFmtId="49" fontId="26" fillId="0" borderId="1" xfId="73" applyNumberFormat="1" applyFont="1" applyBorder="1">
      <alignment horizontal="center" vertical="center" wrapText="1"/>
      <protection locked="0"/>
    </xf>
    <xf numFmtId="49" fontId="103" fillId="0" borderId="1" xfId="0" applyNumberFormat="1" applyFont="1" applyBorder="1" applyAlignment="1" applyProtection="1">
      <alignment horizontal="left" vertical="center" wrapText="1"/>
      <protection locked="0"/>
    </xf>
    <xf numFmtId="16" fontId="0" fillId="0" borderId="0" xfId="0" applyNumberFormat="1"/>
    <xf numFmtId="17" fontId="0" fillId="0" borderId="0" xfId="0" applyNumberFormat="1"/>
    <xf numFmtId="0" fontId="62" fillId="0" borderId="42" xfId="58" applyFont="1" applyBorder="1"/>
    <xf numFmtId="0" fontId="62" fillId="0" borderId="60" xfId="58" applyFont="1" applyBorder="1"/>
    <xf numFmtId="0" fontId="62" fillId="0" borderId="44" xfId="58" applyFont="1" applyBorder="1" applyAlignment="1">
      <alignment horizontal="center"/>
    </xf>
    <xf numFmtId="49" fontId="62" fillId="0" borderId="39" xfId="58" applyNumberFormat="1" applyBorder="1" applyAlignment="1">
      <alignment horizontal="center" wrapText="1"/>
    </xf>
    <xf numFmtId="0" fontId="62" fillId="0" borderId="44" xfId="58" applyFont="1" applyBorder="1" applyAlignment="1">
      <alignment horizontal="center" wrapText="1"/>
    </xf>
    <xf numFmtId="0" fontId="9" fillId="0" borderId="63" xfId="0" applyFont="1" applyFill="1" applyBorder="1" applyAlignment="1" applyProtection="1">
      <alignment horizontal="left" vertical="center" wrapText="1"/>
      <protection locked="0"/>
    </xf>
    <xf numFmtId="0" fontId="106" fillId="0" borderId="63" xfId="0" applyNumberFormat="1" applyFont="1" applyBorder="1" applyAlignment="1" applyProtection="1">
      <alignment horizontal="left" vertical="center" wrapText="1"/>
      <protection locked="0"/>
    </xf>
    <xf numFmtId="0" fontId="9" fillId="0" borderId="63" xfId="0" applyFont="1" applyBorder="1" applyAlignment="1" applyProtection="1">
      <alignment horizontal="left" vertical="center" wrapText="1"/>
      <protection locked="0"/>
    </xf>
    <xf numFmtId="49" fontId="2" fillId="0" borderId="72" xfId="77" applyFill="1" applyBorder="1">
      <alignment horizontal="center" vertical="center" wrapText="1"/>
      <protection locked="0"/>
    </xf>
    <xf numFmtId="0" fontId="106" fillId="2" borderId="72" xfId="15" applyNumberFormat="1" applyFont="1" applyBorder="1">
      <alignment horizontal="center" vertical="center"/>
      <protection locked="0"/>
    </xf>
    <xf numFmtId="0" fontId="2" fillId="4" borderId="0" xfId="0" applyFont="1" applyFill="1" applyBorder="1" applyAlignment="1" applyProtection="1">
      <alignment horizontal="center"/>
      <protection hidden="1"/>
    </xf>
    <xf numFmtId="0" fontId="19" fillId="0" borderId="0" xfId="4" applyBorder="1" applyAlignment="1">
      <alignment wrapText="1"/>
    </xf>
    <xf numFmtId="0" fontId="0" fillId="0" borderId="0" xfId="0" applyAlignment="1"/>
    <xf numFmtId="0" fontId="0" fillId="0" borderId="0" xfId="0" applyAlignment="1">
      <alignment horizontal="left" vertical="center" wrapText="1"/>
    </xf>
    <xf numFmtId="0" fontId="23" fillId="0" borderId="0" xfId="0" applyFont="1" applyAlignment="1">
      <alignment horizontal="left" vertical="center" wrapText="1"/>
    </xf>
    <xf numFmtId="0" fontId="0" fillId="0" borderId="0" xfId="0" applyAlignment="1">
      <alignment horizontal="left" vertical="top" wrapText="1"/>
    </xf>
    <xf numFmtId="0" fontId="23" fillId="0" borderId="0" xfId="0" applyFont="1" applyAlignment="1">
      <alignment horizontal="left" wrapText="1"/>
    </xf>
  </cellXfs>
  <cellStyles count="93">
    <cellStyle name="20 % - Akzent1" xfId="5" builtinId="30" customBuiltin="1"/>
    <cellStyle name="20 % - Akzent1 2" xfId="20" xr:uid="{00000000-0005-0000-0000-000001000000}"/>
    <cellStyle name="20 % - Akzent2" xfId="7" builtinId="34" customBuiltin="1"/>
    <cellStyle name="20 % - Akzent2 2" xfId="21" xr:uid="{00000000-0005-0000-0000-000003000000}"/>
    <cellStyle name="20 % - Akzent3" xfId="9" builtinId="38" customBuiltin="1"/>
    <cellStyle name="20 % - Akzent3 2" xfId="22" xr:uid="{00000000-0005-0000-0000-000005000000}"/>
    <cellStyle name="20 % - Akzent4" xfId="11" builtinId="42" customBuiltin="1"/>
    <cellStyle name="20 % - Akzent4 2" xfId="23" xr:uid="{00000000-0005-0000-0000-000007000000}"/>
    <cellStyle name="20 % - Akzent5" xfId="13" builtinId="46" customBuiltin="1"/>
    <cellStyle name="20 % - Akzent5 2" xfId="24" xr:uid="{00000000-0005-0000-0000-000009000000}"/>
    <cellStyle name="20 % - Akzent6" xfId="14" builtinId="50" customBuiltin="1"/>
    <cellStyle name="20 % - Akzent6 2" xfId="25" xr:uid="{00000000-0005-0000-0000-00000B000000}"/>
    <cellStyle name="40 % - Akzent1" xfId="6" builtinId="31" customBuiltin="1"/>
    <cellStyle name="40 % - Akzent1 2" xfId="26" xr:uid="{00000000-0005-0000-0000-00000D000000}"/>
    <cellStyle name="40 % - Akzent2" xfId="8" builtinId="35" customBuiltin="1"/>
    <cellStyle name="40 % - Akzent2 2" xfId="27" xr:uid="{00000000-0005-0000-0000-00000F000000}"/>
    <cellStyle name="40 % - Akzent3" xfId="10" builtinId="39" customBuiltin="1"/>
    <cellStyle name="40 % - Akzent3 2" xfId="28" xr:uid="{00000000-0005-0000-0000-000011000000}"/>
    <cellStyle name="40 % - Akzent4" xfId="12" builtinId="43" customBuiltin="1"/>
    <cellStyle name="40 % - Akzent4 2" xfId="29" xr:uid="{00000000-0005-0000-0000-000013000000}"/>
    <cellStyle name="40 % - Akzent5 2" xfId="30" xr:uid="{00000000-0005-0000-0000-000014000000}"/>
    <cellStyle name="40 % - Akzent6 2" xfId="31" xr:uid="{00000000-0005-0000-0000-000015000000}"/>
    <cellStyle name="60 % - Akzent1 2" xfId="32" xr:uid="{00000000-0005-0000-0000-000016000000}"/>
    <cellStyle name="60 % - Akzent2 2" xfId="33" xr:uid="{00000000-0005-0000-0000-000017000000}"/>
    <cellStyle name="60 % - Akzent3 2" xfId="34" xr:uid="{00000000-0005-0000-0000-000018000000}"/>
    <cellStyle name="60 % - Akzent4 2" xfId="35" xr:uid="{00000000-0005-0000-0000-000019000000}"/>
    <cellStyle name="60 % - Akzent5 2" xfId="36" xr:uid="{00000000-0005-0000-0000-00001A000000}"/>
    <cellStyle name="60 % - Akzent6 2" xfId="37" xr:uid="{00000000-0005-0000-0000-00001B000000}"/>
    <cellStyle name="ACHTUNG" xfId="38" xr:uid="{00000000-0005-0000-0000-00001C000000}"/>
    <cellStyle name="Akzent1 2" xfId="39" xr:uid="{00000000-0005-0000-0000-00001D000000}"/>
    <cellStyle name="Akzent2 2" xfId="40" xr:uid="{00000000-0005-0000-0000-00001E000000}"/>
    <cellStyle name="Akzent3 2" xfId="41" xr:uid="{00000000-0005-0000-0000-00001F000000}"/>
    <cellStyle name="Akzent4 2" xfId="42" xr:uid="{00000000-0005-0000-0000-000020000000}"/>
    <cellStyle name="Akzent5 2" xfId="43" xr:uid="{00000000-0005-0000-0000-000021000000}"/>
    <cellStyle name="Akzent6 2" xfId="44" xr:uid="{00000000-0005-0000-0000-000022000000}"/>
    <cellStyle name="Analysenumfang" xfId="15" xr:uid="{00000000-0005-0000-0000-000023000000}"/>
    <cellStyle name="Ausgabe 2" xfId="45" xr:uid="{00000000-0005-0000-0000-000024000000}"/>
    <cellStyle name="Barcode" xfId="16" xr:uid="{00000000-0005-0000-0000-000025000000}"/>
    <cellStyle name="Barcode 139" xfId="70" xr:uid="{00000000-0005-0000-0000-000026000000}"/>
    <cellStyle name="Bemerkung" xfId="92" xr:uid="{00000000-0005-0000-0000-000027000000}"/>
    <cellStyle name="Bemerkungen 1-3" xfId="69" xr:uid="{00000000-0005-0000-0000-000028000000}"/>
    <cellStyle name="Berechnung 2" xfId="46" xr:uid="{00000000-0005-0000-0000-000029000000}"/>
    <cellStyle name="Bodenart" xfId="77" xr:uid="{00000000-0005-0000-0000-00002A000000}"/>
    <cellStyle name="Eingabe 2" xfId="47" xr:uid="{00000000-0005-0000-0000-00002B000000}"/>
    <cellStyle name="Ergebnis 2" xfId="48" xr:uid="{00000000-0005-0000-0000-00002C000000}"/>
    <cellStyle name="Erklärender Text 2" xfId="49" xr:uid="{00000000-0005-0000-0000-00002D000000}"/>
    <cellStyle name="Erntereste" xfId="76" xr:uid="{00000000-0005-0000-0000-00002E000000}"/>
    <cellStyle name="fixed" xfId="50" xr:uid="{00000000-0005-0000-0000-00002F000000}"/>
    <cellStyle name="Gut 2" xfId="51" xr:uid="{00000000-0005-0000-0000-000030000000}"/>
    <cellStyle name="Humusstufe" xfId="78" xr:uid="{00000000-0005-0000-0000-000031000000}"/>
    <cellStyle name="Hyperlink 2" xfId="52" xr:uid="{00000000-0005-0000-0000-000034000000}"/>
    <cellStyle name="KommPN" xfId="18" xr:uid="{00000000-0005-0000-0000-000035000000}"/>
    <cellStyle name="lfd Nr" xfId="17" xr:uid="{00000000-0005-0000-0000-000036000000}"/>
    <cellStyle name="Link" xfId="1" builtinId="8" hidden="1"/>
    <cellStyle name="Link" xfId="19" builtinId="8" customBuiltin="1"/>
    <cellStyle name="Neutral 2" xfId="53" xr:uid="{00000000-0005-0000-0000-000037000000}"/>
    <cellStyle name="Normal" xfId="54" xr:uid="{00000000-0005-0000-0000-000038000000}"/>
    <cellStyle name="Notiz 2" xfId="55" xr:uid="{00000000-0005-0000-0000-000039000000}"/>
    <cellStyle name="Nutzung" xfId="75" xr:uid="{00000000-0005-0000-0000-00003A000000}"/>
    <cellStyle name="Schlaggröße" xfId="74" xr:uid="{00000000-0005-0000-0000-00003B000000}"/>
    <cellStyle name="Schlagname" xfId="73" xr:uid="{00000000-0005-0000-0000-00003C000000}"/>
    <cellStyle name="Schlagnummer" xfId="71" xr:uid="{00000000-0005-0000-0000-00003D000000}"/>
    <cellStyle name="Schlecht 2" xfId="56" xr:uid="{00000000-0005-0000-0000-00003E000000}"/>
    <cellStyle name="sort_gelb" xfId="79" xr:uid="{00000000-0005-0000-0000-00003F000000}"/>
    <cellStyle name="Standard" xfId="0" builtinId="0" customBuiltin="1"/>
    <cellStyle name="Standard 2" xfId="57" xr:uid="{00000000-0005-0000-0000-000041000000}"/>
    <cellStyle name="Standard 2 2" xfId="58" xr:uid="{00000000-0005-0000-0000-000042000000}"/>
    <cellStyle name="Standard 3" xfId="59" xr:uid="{00000000-0005-0000-0000-000043000000}"/>
    <cellStyle name="Standard 4" xfId="60" xr:uid="{00000000-0005-0000-0000-000044000000}"/>
    <cellStyle name="Standard 5" xfId="61" xr:uid="{00000000-0005-0000-0000-000045000000}"/>
    <cellStyle name="Teilschlagnummer" xfId="72" xr:uid="{00000000-0005-0000-0000-000046000000}"/>
    <cellStyle name="Ü_Bemerkungen" xfId="80" xr:uid="{00000000-0005-0000-0000-000047000000}"/>
    <cellStyle name="Ü_Bodenart_Humus" xfId="81" xr:uid="{00000000-0005-0000-0000-000048000000}"/>
    <cellStyle name="Ü_Erntereste" xfId="82" xr:uid="{00000000-0005-0000-0000-000049000000}"/>
    <cellStyle name="Ü_lfd_Nr" xfId="83" xr:uid="{00000000-0005-0000-0000-00004A000000}"/>
    <cellStyle name="Ü_Nutzung_Erntereste" xfId="84" xr:uid="{00000000-0005-0000-0000-00004B000000}"/>
    <cellStyle name="Ü_Schlaggröße" xfId="85" xr:uid="{00000000-0005-0000-0000-00004C000000}"/>
    <cellStyle name="Ü_Schlagname" xfId="86" xr:uid="{00000000-0005-0000-0000-00004D000000}"/>
    <cellStyle name="Ü_Schlagnummer" xfId="87" xr:uid="{00000000-0005-0000-0000-00004E000000}"/>
    <cellStyle name="Ü_Standard" xfId="88" xr:uid="{00000000-0005-0000-0000-00004F000000}"/>
    <cellStyle name="Ü_Teilschlagnummer" xfId="89" xr:uid="{00000000-0005-0000-0000-000050000000}"/>
    <cellStyle name="Ü_Tütenbarcode" xfId="90" xr:uid="{00000000-0005-0000-0000-000051000000}"/>
    <cellStyle name="Ü_zus_Analy" xfId="91" xr:uid="{00000000-0005-0000-0000-000052000000}"/>
    <cellStyle name="Überschrift" xfId="2" builtinId="15" customBuiltin="1"/>
    <cellStyle name="Überschrift 1" xfId="3" builtinId="16"/>
    <cellStyle name="Überschrift 1 2" xfId="62" xr:uid="{00000000-0005-0000-0000-000055000000}"/>
    <cellStyle name="Überschrift 2" xfId="4" builtinId="17"/>
    <cellStyle name="Überschrift 2 2" xfId="63" xr:uid="{00000000-0005-0000-0000-000057000000}"/>
    <cellStyle name="Überschrift 3 2" xfId="64" xr:uid="{00000000-0005-0000-0000-000058000000}"/>
    <cellStyle name="Überschrift 4 2" xfId="65" xr:uid="{00000000-0005-0000-0000-000059000000}"/>
    <cellStyle name="Verknüpfte Zelle 2" xfId="66" xr:uid="{00000000-0005-0000-0000-00005A000000}"/>
    <cellStyle name="Warnender Text 2" xfId="67" xr:uid="{00000000-0005-0000-0000-00005B000000}"/>
    <cellStyle name="Zelle überprüfen 2" xfId="68" xr:uid="{00000000-0005-0000-0000-00005C000000}"/>
  </cellStyles>
  <dxfs count="92">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numFmt numFmtId="0" formatCode="General"/>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name val="Arial"/>
        <scheme val="none"/>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font>
    </dxf>
    <dxf>
      <font>
        <strike val="0"/>
        <outline val="0"/>
        <shadow val="0"/>
        <u val="none"/>
        <vertAlign val="baseline"/>
        <sz val="18"/>
        <color theme="1"/>
        <name val="Arial"/>
        <scheme val="none"/>
      </font>
    </dxf>
    <dxf>
      <font>
        <strike val="0"/>
        <outline val="0"/>
        <shadow val="0"/>
        <u val="none"/>
        <vertAlign val="baseline"/>
        <sz val="18"/>
        <color theme="1"/>
      </font>
    </dxf>
    <dxf>
      <font>
        <strike val="0"/>
        <outline val="0"/>
        <shadow val="0"/>
        <u val="none"/>
        <vertAlign val="baseline"/>
        <sz val="18"/>
        <color theme="1"/>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0"/>
        <outline val="0"/>
        <shadow val="0"/>
        <u val="none"/>
        <vertAlign val="baseline"/>
        <sz val="14"/>
        <color theme="1"/>
        <name val="Arial"/>
        <scheme val="none"/>
      </font>
      <border outline="0">
        <left style="thin">
          <color indexed="64"/>
        </left>
      </border>
    </dxf>
    <dxf>
      <font>
        <strike val="0"/>
        <outline val="0"/>
        <shadow val="0"/>
        <u val="none"/>
        <vertAlign val="baseline"/>
        <sz val="18"/>
        <color theme="1"/>
        <name val="Arial"/>
        <scheme val="none"/>
      </font>
      <border outline="0">
        <left style="thin">
          <color indexed="64"/>
        </left>
        <right style="thin">
          <color indexed="64"/>
        </right>
      </border>
    </dxf>
    <dxf>
      <font>
        <strike val="0"/>
        <outline val="0"/>
        <shadow val="0"/>
        <u val="none"/>
        <vertAlign val="baseline"/>
        <sz val="18"/>
        <color theme="1"/>
        <name val="Arial"/>
        <scheme val="none"/>
      </font>
      <border outline="0">
        <left style="thin">
          <color indexed="64"/>
        </left>
        <right style="thin">
          <color indexed="64"/>
        </right>
      </border>
    </dxf>
    <dxf>
      <font>
        <strike val="0"/>
        <outline val="0"/>
        <shadow val="0"/>
        <u val="none"/>
        <vertAlign val="baseline"/>
        <sz val="18"/>
        <color theme="1"/>
        <name val="Arial"/>
        <scheme val="none"/>
      </font>
      <border outline="0">
        <left style="thin">
          <color indexed="64"/>
        </left>
        <right style="thin">
          <color indexed="64"/>
        </right>
      </border>
    </dxf>
    <dxf>
      <font>
        <strike val="0"/>
        <outline val="0"/>
        <shadow val="0"/>
        <u val="none"/>
        <vertAlign val="baseline"/>
        <sz val="18"/>
        <color theme="1"/>
        <name val="Arial"/>
        <scheme val="none"/>
      </font>
      <border outline="0">
        <left style="thin">
          <color indexed="64"/>
        </left>
        <right style="thin">
          <color indexed="64"/>
        </right>
      </border>
    </dxf>
    <dxf>
      <font>
        <strike val="0"/>
        <outline val="0"/>
        <shadow val="0"/>
        <u val="none"/>
        <vertAlign val="baseline"/>
        <sz val="18"/>
        <color theme="1"/>
        <name val="Arial"/>
        <scheme val="none"/>
      </font>
      <border outline="0">
        <left style="thin">
          <color indexed="64"/>
        </left>
        <right style="thin">
          <color indexed="64"/>
        </right>
      </border>
    </dxf>
    <dxf>
      <font>
        <strike val="0"/>
        <outline val="0"/>
        <shadow val="0"/>
        <u val="none"/>
        <vertAlign val="baseline"/>
        <sz val="18"/>
        <color theme="1"/>
        <name val="Arial"/>
        <scheme val="none"/>
      </font>
      <border outline="0">
        <left style="thin">
          <color indexed="64"/>
        </left>
        <right style="thin">
          <color indexed="64"/>
        </right>
      </border>
    </dxf>
    <dxf>
      <font>
        <strike val="0"/>
        <outline val="0"/>
        <shadow val="0"/>
        <u val="none"/>
        <vertAlign val="baseline"/>
        <sz val="18"/>
        <color theme="1"/>
        <name val="Arial"/>
        <scheme val="none"/>
      </font>
      <border outline="0">
        <left style="thin">
          <color indexed="64"/>
        </left>
        <right style="thin">
          <color indexed="64"/>
        </right>
      </border>
    </dxf>
    <dxf>
      <font>
        <strike val="0"/>
        <outline val="0"/>
        <shadow val="0"/>
        <u val="none"/>
        <vertAlign val="baseline"/>
        <sz val="18"/>
        <color theme="1"/>
        <name val="Arial"/>
        <scheme val="none"/>
      </font>
      <border outline="0">
        <left style="thin">
          <color indexed="64"/>
        </left>
        <right style="thin">
          <color indexed="64"/>
        </right>
      </border>
    </dxf>
    <dxf>
      <font>
        <strike val="0"/>
        <outline val="0"/>
        <shadow val="0"/>
        <u val="none"/>
        <vertAlign val="baseline"/>
        <sz val="18"/>
        <color theme="1"/>
        <name val="Arial"/>
        <scheme val="none"/>
      </font>
      <border outline="0">
        <left style="thin">
          <color indexed="64"/>
        </left>
        <right style="thin">
          <color indexed="64"/>
        </right>
      </border>
    </dxf>
    <dxf>
      <font>
        <strike val="0"/>
        <outline val="0"/>
        <shadow val="0"/>
        <u val="none"/>
        <vertAlign val="baseline"/>
        <sz val="18"/>
        <color theme="1"/>
        <name val="Arial"/>
        <scheme val="none"/>
      </font>
      <numFmt numFmtId="0" formatCode="General"/>
      <border outline="0">
        <right style="thin">
          <color indexed="64"/>
        </right>
      </border>
    </dxf>
    <dxf>
      <fill>
        <patternFill patternType="none">
          <fgColor indexed="64"/>
          <bgColor indexed="65"/>
        </patternFill>
      </fill>
      <border outline="0">
        <right style="thin">
          <color indexed="64"/>
        </right>
      </border>
    </dxf>
    <dxf>
      <fill>
        <patternFill patternType="none">
          <fgColor indexed="64"/>
          <bgColor indexed="65"/>
        </patternFill>
      </fill>
    </dxf>
    <dxf>
      <font>
        <b val="0"/>
        <strike val="0"/>
        <outline val="0"/>
        <shadow val="0"/>
        <u val="none"/>
        <vertAlign val="baseline"/>
        <sz val="16"/>
        <name val="Arial"/>
        <scheme val="none"/>
      </font>
      <fill>
        <patternFill patternType="none">
          <fgColor indexed="64"/>
          <bgColor indexed="65"/>
        </patternFill>
      </fill>
      <alignment horizontal="left" vertical="center" wrapText="1" justifyLastLine="0" shrinkToFit="0" readingOrder="0"/>
      <border diagonalUp="0" diagonalDown="0" outline="0">
        <left/>
        <right/>
        <top style="thin">
          <color indexed="64"/>
        </top>
        <bottom style="thin">
          <color indexed="64"/>
        </bottom>
      </border>
    </dxf>
    <dxf>
      <font>
        <b val="0"/>
        <strike val="0"/>
        <outline val="0"/>
        <shadow val="0"/>
        <u val="none"/>
        <vertAlign val="baseline"/>
        <sz val="16"/>
        <name val="Arial"/>
        <scheme val="none"/>
      </font>
      <alignment horizontal="left" vertical="center" wrapText="1" justifyLastLine="0" shrinkToFit="0" readingOrder="0"/>
      <border diagonalUp="0" diagonalDown="0" outline="0">
        <left/>
        <right/>
        <top style="thin">
          <color indexed="64"/>
        </top>
        <bottom style="thin">
          <color indexed="64"/>
        </bottom>
      </border>
    </dxf>
    <dxf>
      <font>
        <b/>
        <strike val="0"/>
        <outline val="0"/>
        <shadow val="0"/>
        <u val="none"/>
        <vertAlign val="baseline"/>
        <sz val="18"/>
        <color theme="1"/>
        <name val="Arial"/>
        <scheme val="none"/>
      </font>
      <numFmt numFmtId="0" formatCode="General"/>
      <alignment horizontal="left" vertical="center" wrapText="1" justifyLastLine="0" shrinkToFit="0" readingOrder="0"/>
      <border diagonalUp="0" diagonalDown="0" outline="0">
        <left/>
        <right/>
        <top style="thin">
          <color indexed="64"/>
        </top>
        <bottom style="thin">
          <color indexed="64"/>
        </bottom>
      </border>
    </dxf>
    <dxf>
      <font>
        <b val="0"/>
        <strike val="0"/>
        <outline val="0"/>
        <shadow val="0"/>
        <u val="none"/>
        <vertAlign val="baseline"/>
        <sz val="16"/>
        <name val="Arial"/>
        <scheme val="none"/>
      </font>
      <fill>
        <patternFill patternType="none">
          <fgColor indexed="64"/>
          <bgColor indexed="65"/>
        </patternFill>
      </fill>
      <alignment horizontal="left" vertical="center" wrapText="1" justifyLastLine="0" shrinkToFit="0" readingOrder="0"/>
      <border diagonalUp="0" diagonalDown="0" outline="0">
        <left/>
        <right/>
        <top style="thin">
          <color indexed="64"/>
        </top>
        <bottom style="thin">
          <color indexed="64"/>
        </bottom>
      </border>
    </dxf>
    <dxf>
      <font>
        <b val="0"/>
        <strike val="0"/>
        <outline val="0"/>
        <shadow val="0"/>
        <u val="none"/>
        <vertAlign val="baseline"/>
        <sz val="14"/>
        <color theme="1"/>
        <name val="Arial"/>
        <scheme val="none"/>
      </font>
      <alignment horizontal="left" vertical="center" wrapText="1" justifyLastLine="0" shrinkToFit="0" readingOrder="0"/>
      <border diagonalUp="0" diagonalDown="0" outline="0">
        <left/>
        <right/>
        <top style="thin">
          <color indexed="64"/>
        </top>
        <bottom style="thin">
          <color indexed="64"/>
        </bottom>
      </border>
    </dxf>
    <dxf>
      <font>
        <b val="0"/>
        <strike val="0"/>
        <outline val="0"/>
        <shadow val="0"/>
        <u val="none"/>
        <vertAlign val="baseline"/>
        <sz val="14"/>
        <color theme="1"/>
        <name val="Arial"/>
        <scheme val="none"/>
      </font>
      <alignment horizontal="left" vertical="center" wrapText="1"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4"/>
        <color theme="1"/>
        <name val="Arial"/>
        <scheme val="none"/>
      </font>
      <numFmt numFmtId="30" formatCode="@"/>
      <alignment horizontal="left" vertical="center" wrapText="1"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sz val="14"/>
        <color theme="1"/>
        <name val="Arial"/>
        <scheme val="none"/>
      </font>
      <numFmt numFmtId="1" formatCode="0"/>
      <alignment horizontal="left" vertical="center" wrapText="1"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8"/>
        <color theme="1"/>
        <name val="Arial"/>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8"/>
        <color theme="1"/>
        <name val="Arial"/>
        <scheme val="none"/>
      </font>
      <fill>
        <patternFill patternType="solid">
          <fgColor indexed="64"/>
          <bgColor theme="0"/>
        </patternFill>
      </fill>
      <border outline="0">
        <left style="thin">
          <color indexed="64"/>
        </left>
        <right style="thin">
          <color indexed="64"/>
        </right>
      </border>
    </dxf>
    <dxf>
      <font>
        <strike val="0"/>
        <outline val="0"/>
        <shadow val="0"/>
        <u val="none"/>
        <vertAlign val="baseline"/>
        <sz val="18"/>
        <name val="Arial"/>
        <scheme val="none"/>
      </font>
      <numFmt numFmtId="0" formatCode="General"/>
      <border diagonalUp="0" diagonalDown="0">
        <left style="thin">
          <color indexed="64"/>
        </left>
        <right style="thin">
          <color indexed="64"/>
        </right>
        <top style="thin">
          <color indexed="64"/>
        </top>
        <bottom style="thin">
          <color indexed="64"/>
        </bottom>
      </border>
      <protection locked="0" hidden="0"/>
    </dxf>
    <dxf>
      <border outline="0">
        <left style="thick">
          <color indexed="64"/>
        </left>
        <right style="thick">
          <color indexed="64"/>
        </right>
        <top style="thin">
          <color indexed="64"/>
        </top>
        <bottom style="thick">
          <color indexed="64"/>
        </bottom>
      </border>
    </dxf>
    <dxf>
      <font>
        <b/>
        <i val="0"/>
        <strike val="0"/>
        <condense val="0"/>
        <extend val="0"/>
        <outline val="0"/>
        <shadow val="0"/>
        <u val="none"/>
        <vertAlign val="baseline"/>
        <sz val="11"/>
        <color theme="1"/>
        <name val="Arial"/>
        <scheme val="none"/>
      </font>
      <numFmt numFmtId="30" formatCode="@"/>
      <fill>
        <patternFill patternType="solid">
          <fgColor indexed="64"/>
          <bgColor theme="2"/>
        </patternFill>
      </fill>
      <alignment horizontal="center" vertical="center" textRotation="0" wrapText="0" indent="0" justifyLastLine="0" shrinkToFit="0" readingOrder="0"/>
      <protection locked="0" hidden="0"/>
    </dxf>
    <dxf>
      <border>
        <bottom style="thick">
          <color auto="1"/>
        </bottom>
      </border>
    </dxf>
    <dxf>
      <font>
        <b/>
        <i val="0"/>
        <strike val="0"/>
        <condense val="0"/>
        <extend val="0"/>
        <outline val="0"/>
        <shadow val="0"/>
        <u val="none"/>
        <vertAlign val="baseline"/>
        <sz val="12"/>
        <color rgb="FFCCFFCC"/>
        <name val="Arial"/>
        <scheme val="none"/>
      </font>
      <numFmt numFmtId="30" formatCode="@"/>
      <fill>
        <patternFill patternType="solid">
          <fgColor indexed="64"/>
          <bgColor rgb="FFCCFFCC"/>
        </patternFill>
      </fill>
      <alignment horizontal="center" vertical="center" textRotation="90" wrapText="1" indent="0" justifyLastLine="0" shrinkToFit="0" readingOrder="0"/>
      <border diagonalUp="0" diagonalDown="0">
        <left style="thin">
          <color auto="1"/>
        </left>
        <right style="thin">
          <color auto="1"/>
        </right>
        <top/>
        <bottom/>
        <vertical style="thin">
          <color auto="1"/>
        </vertical>
        <horizontal style="thin">
          <color auto="1"/>
        </horizontal>
      </border>
      <protection locked="1" hidden="1"/>
    </dxf>
    <dxf>
      <fill>
        <patternFill>
          <bgColor rgb="FFFFC000"/>
        </patternFill>
      </fill>
    </dxf>
    <dxf>
      <fill>
        <patternFill>
          <bgColor rgb="FFFF0000"/>
        </patternFill>
      </fill>
    </dxf>
    <dxf>
      <font>
        <color rgb="FF9C0006"/>
      </font>
      <fill>
        <patternFill>
          <bgColor rgb="FFFF0000"/>
        </patternFill>
      </fill>
    </dxf>
    <dxf>
      <fill>
        <patternFill patternType="gray0625">
          <bgColor rgb="FFFFC0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0"/>
        </patternFill>
      </fill>
      <border>
        <left style="thick">
          <color auto="1"/>
        </left>
        <right style="thick">
          <color auto="1"/>
        </right>
        <top style="thick">
          <color auto="1"/>
        </top>
        <bottom style="thick">
          <color auto="1"/>
        </bottom>
        <vertical style="medium">
          <color auto="1"/>
        </vertical>
        <horizontal style="medium">
          <color auto="1"/>
        </horizontal>
      </border>
    </dxf>
  </dxfs>
  <tableStyles count="2" defaultTableStyle="Tabellenformat 2" defaultPivotStyle="PivotStyleLight16">
    <tableStyle name="Tabellenformat 1" pivot="0" count="0" xr9:uid="{00000000-0011-0000-FFFF-FFFF00000000}"/>
    <tableStyle name="Tabellenformat 2" pivot="0" count="1" xr9:uid="{00000000-0011-0000-FFFF-FFFF01000000}">
      <tableStyleElement type="wholeTable" dxfId="91"/>
    </tableStyle>
  </tableStyles>
  <colors>
    <mruColors>
      <color rgb="FFFFCCFF"/>
      <color rgb="FFFF00FF"/>
      <color rgb="FFFF9900"/>
      <color rgb="FFFF6600"/>
      <color rgb="FFFFFFCC"/>
      <color rgb="FFCCFFCC"/>
      <color rgb="FFFF66FF"/>
      <color rgb="FF66CC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emf"/><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1647</xdr:colOff>
          <xdr:row>28</xdr:row>
          <xdr:rowOff>4329</xdr:rowOff>
        </xdr:from>
        <xdr:to>
          <xdr:col>6</xdr:col>
          <xdr:colOff>2092427</xdr:colOff>
          <xdr:row>34</xdr:row>
          <xdr:rowOff>259773</xdr:rowOff>
        </xdr:to>
        <xdr:grpSp>
          <xdr:nvGrpSpPr>
            <xdr:cNvPr id="2" name="Gruppieren 1">
              <a:extLst>
                <a:ext uri="{FF2B5EF4-FFF2-40B4-BE49-F238E27FC236}">
                  <a16:creationId xmlns:a16="http://schemas.microsoft.com/office/drawing/2014/main" id="{00000000-0008-0000-0000-000002000000}"/>
                </a:ext>
              </a:extLst>
            </xdr:cNvPr>
            <xdr:cNvGrpSpPr/>
          </xdr:nvGrpSpPr>
          <xdr:grpSpPr>
            <a:xfrm>
              <a:off x="10179790" y="7529079"/>
              <a:ext cx="2090780" cy="1806658"/>
              <a:chOff x="10174962" y="7630497"/>
              <a:chExt cx="2090780" cy="1804026"/>
            </a:xfrm>
          </xdr:grpSpPr>
          <xdr:sp macro="" textlink="">
            <xdr:nvSpPr>
              <xdr:cNvPr id="8218" name="Frucht1" hidden="1">
                <a:extLst>
                  <a:ext uri="{63B3BB69-23CF-44E3-9099-C40C66FF867C}">
                    <a14:compatExt spid="_x0000_s8218"/>
                  </a:ext>
                  <a:ext uri="{FF2B5EF4-FFF2-40B4-BE49-F238E27FC236}">
                    <a16:creationId xmlns:a16="http://schemas.microsoft.com/office/drawing/2014/main" id="{00000000-0008-0000-0000-00001A200000}"/>
                  </a:ext>
                </a:extLst>
              </xdr:cNvPr>
              <xdr:cNvSpPr/>
            </xdr:nvSpPr>
            <xdr:spPr bwMode="auto">
              <a:xfrm>
                <a:off x="10176238" y="7630497"/>
                <a:ext cx="2085176" cy="258098"/>
              </a:xfrm>
              <a:prstGeom prst="rect">
                <a:avLst/>
              </a:prstGeom>
              <a:noFill/>
              <a:ln>
                <a:noFill/>
              </a:ln>
              <a:extLst>
                <a:ext uri="{91240B29-F687-4F45-9708-019B960494DF}">
                  <a14:hiddenLine w="9525">
                    <a:noFill/>
                    <a:miter lim="800000"/>
                    <a:headEnd/>
                    <a:tailEnd/>
                  </a14:hiddenLine>
                </a:ext>
              </a:extLst>
            </xdr:spPr>
          </xdr:sp>
          <xdr:sp macro="" textlink="">
            <xdr:nvSpPr>
              <xdr:cNvPr id="8219" name="Frucht2" hidden="1">
                <a:extLst>
                  <a:ext uri="{63B3BB69-23CF-44E3-9099-C40C66FF867C}">
                    <a14:compatExt spid="_x0000_s8219"/>
                  </a:ext>
                  <a:ext uri="{FF2B5EF4-FFF2-40B4-BE49-F238E27FC236}">
                    <a16:creationId xmlns:a16="http://schemas.microsoft.com/office/drawing/2014/main" id="{00000000-0008-0000-0000-00001B200000}"/>
                  </a:ext>
                </a:extLst>
              </xdr:cNvPr>
              <xdr:cNvSpPr/>
            </xdr:nvSpPr>
            <xdr:spPr bwMode="auto">
              <a:xfrm>
                <a:off x="10179376" y="7889439"/>
                <a:ext cx="2085975" cy="258097"/>
              </a:xfrm>
              <a:prstGeom prst="rect">
                <a:avLst/>
              </a:prstGeom>
              <a:noFill/>
              <a:ln>
                <a:noFill/>
              </a:ln>
              <a:extLst>
                <a:ext uri="{91240B29-F687-4F45-9708-019B960494DF}">
                  <a14:hiddenLine w="9525">
                    <a:noFill/>
                    <a:miter lim="800000"/>
                    <a:headEnd/>
                    <a:tailEnd/>
                  </a14:hiddenLine>
                </a:ext>
              </a:extLst>
            </xdr:spPr>
          </xdr:sp>
          <xdr:sp macro="" textlink="">
            <xdr:nvSpPr>
              <xdr:cNvPr id="8220" name="Frucht3" hidden="1">
                <a:extLst>
                  <a:ext uri="{63B3BB69-23CF-44E3-9099-C40C66FF867C}">
                    <a14:compatExt spid="_x0000_s8220"/>
                  </a:ext>
                  <a:ext uri="{FF2B5EF4-FFF2-40B4-BE49-F238E27FC236}">
                    <a16:creationId xmlns:a16="http://schemas.microsoft.com/office/drawing/2014/main" id="{00000000-0008-0000-0000-00001C200000}"/>
                  </a:ext>
                </a:extLst>
              </xdr:cNvPr>
              <xdr:cNvSpPr/>
            </xdr:nvSpPr>
            <xdr:spPr bwMode="auto">
              <a:xfrm>
                <a:off x="10177170" y="8149742"/>
                <a:ext cx="2086534" cy="258096"/>
              </a:xfrm>
              <a:prstGeom prst="rect">
                <a:avLst/>
              </a:prstGeom>
              <a:noFill/>
              <a:ln>
                <a:noFill/>
              </a:ln>
              <a:extLst>
                <a:ext uri="{91240B29-F687-4F45-9708-019B960494DF}">
                  <a14:hiddenLine w="9525">
                    <a:noFill/>
                    <a:miter lim="800000"/>
                    <a:headEnd/>
                    <a:tailEnd/>
                  </a14:hiddenLine>
                </a:ext>
              </a:extLst>
            </xdr:spPr>
          </xdr:sp>
          <xdr:sp macro="" textlink="">
            <xdr:nvSpPr>
              <xdr:cNvPr id="8221" name="Frucht5" hidden="1">
                <a:extLst>
                  <a:ext uri="{63B3BB69-23CF-44E3-9099-C40C66FF867C}">
                    <a14:compatExt spid="_x0000_s8221"/>
                  </a:ext>
                  <a:ext uri="{FF2B5EF4-FFF2-40B4-BE49-F238E27FC236}">
                    <a16:creationId xmlns:a16="http://schemas.microsoft.com/office/drawing/2014/main" id="{00000000-0008-0000-0000-00001D200000}"/>
                  </a:ext>
                </a:extLst>
              </xdr:cNvPr>
              <xdr:cNvSpPr/>
            </xdr:nvSpPr>
            <xdr:spPr bwMode="auto">
              <a:xfrm>
                <a:off x="10174962" y="8664985"/>
                <a:ext cx="2086534" cy="258096"/>
              </a:xfrm>
              <a:prstGeom prst="rect">
                <a:avLst/>
              </a:prstGeom>
              <a:noFill/>
              <a:ln>
                <a:noFill/>
              </a:ln>
              <a:extLst>
                <a:ext uri="{91240B29-F687-4F45-9708-019B960494DF}">
                  <a14:hiddenLine w="9525">
                    <a:noFill/>
                    <a:miter lim="800000"/>
                    <a:headEnd/>
                    <a:tailEnd/>
                  </a14:hiddenLine>
                </a:ext>
              </a:extLst>
            </xdr:spPr>
          </xdr:sp>
          <xdr:sp macro="" textlink="">
            <xdr:nvSpPr>
              <xdr:cNvPr id="8222" name="Frucht4" hidden="1">
                <a:extLst>
                  <a:ext uri="{63B3BB69-23CF-44E3-9099-C40C66FF867C}">
                    <a14:compatExt spid="_x0000_s8222"/>
                  </a:ext>
                  <a:ext uri="{FF2B5EF4-FFF2-40B4-BE49-F238E27FC236}">
                    <a16:creationId xmlns:a16="http://schemas.microsoft.com/office/drawing/2014/main" id="{00000000-0008-0000-0000-00001E200000}"/>
                  </a:ext>
                </a:extLst>
              </xdr:cNvPr>
              <xdr:cNvSpPr/>
            </xdr:nvSpPr>
            <xdr:spPr bwMode="auto">
              <a:xfrm>
                <a:off x="10175829" y="8404764"/>
                <a:ext cx="2085975" cy="258097"/>
              </a:xfrm>
              <a:prstGeom prst="rect">
                <a:avLst/>
              </a:prstGeom>
              <a:noFill/>
              <a:ln>
                <a:noFill/>
              </a:ln>
              <a:extLst>
                <a:ext uri="{91240B29-F687-4F45-9708-019B960494DF}">
                  <a14:hiddenLine w="9525">
                    <a:noFill/>
                    <a:miter lim="800000"/>
                    <a:headEnd/>
                    <a:tailEnd/>
                  </a14:hiddenLine>
                </a:ext>
              </a:extLst>
            </xdr:spPr>
          </xdr:sp>
          <xdr:sp macro="" textlink="">
            <xdr:nvSpPr>
              <xdr:cNvPr id="8223" name="Frucht6" hidden="1">
                <a:extLst>
                  <a:ext uri="{63B3BB69-23CF-44E3-9099-C40C66FF867C}">
                    <a14:compatExt spid="_x0000_s8223"/>
                  </a:ext>
                  <a:ext uri="{FF2B5EF4-FFF2-40B4-BE49-F238E27FC236}">
                    <a16:creationId xmlns:a16="http://schemas.microsoft.com/office/drawing/2014/main" id="{00000000-0008-0000-0000-00001F200000}"/>
                  </a:ext>
                </a:extLst>
              </xdr:cNvPr>
              <xdr:cNvSpPr/>
            </xdr:nvSpPr>
            <xdr:spPr bwMode="auto">
              <a:xfrm>
                <a:off x="10179767" y="8923639"/>
                <a:ext cx="2085975" cy="258097"/>
              </a:xfrm>
              <a:prstGeom prst="rect">
                <a:avLst/>
              </a:prstGeom>
              <a:noFill/>
              <a:ln>
                <a:noFill/>
              </a:ln>
              <a:extLst>
                <a:ext uri="{91240B29-F687-4F45-9708-019B960494DF}">
                  <a14:hiddenLine w="9525">
                    <a:noFill/>
                    <a:miter lim="800000"/>
                    <a:headEnd/>
                    <a:tailEnd/>
                  </a14:hiddenLine>
                </a:ext>
              </a:extLst>
            </xdr:spPr>
          </xdr:sp>
          <xdr:sp macro="" textlink="">
            <xdr:nvSpPr>
              <xdr:cNvPr id="8224" name="Frucht7" hidden="1">
                <a:extLst>
                  <a:ext uri="{63B3BB69-23CF-44E3-9099-C40C66FF867C}">
                    <a14:compatExt spid="_x0000_s8224"/>
                  </a:ext>
                  <a:ext uri="{FF2B5EF4-FFF2-40B4-BE49-F238E27FC236}">
                    <a16:creationId xmlns:a16="http://schemas.microsoft.com/office/drawing/2014/main" id="{00000000-0008-0000-0000-000020200000}"/>
                  </a:ext>
                </a:extLst>
              </xdr:cNvPr>
              <xdr:cNvSpPr/>
            </xdr:nvSpPr>
            <xdr:spPr bwMode="auto">
              <a:xfrm>
                <a:off x="10179377" y="9179079"/>
                <a:ext cx="2085975" cy="255444"/>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17</xdr:col>
      <xdr:colOff>246530</xdr:colOff>
      <xdr:row>0</xdr:row>
      <xdr:rowOff>123265</xdr:rowOff>
    </xdr:from>
    <xdr:to>
      <xdr:col>24</xdr:col>
      <xdr:colOff>829237</xdr:colOff>
      <xdr:row>1</xdr:row>
      <xdr:rowOff>179295</xdr:rowOff>
    </xdr:to>
    <xdr:sp macro="" textlink="">
      <xdr:nvSpPr>
        <xdr:cNvPr id="2" name="Textfeld 1">
          <a:extLst>
            <a:ext uri="{FF2B5EF4-FFF2-40B4-BE49-F238E27FC236}">
              <a16:creationId xmlns:a16="http://schemas.microsoft.com/office/drawing/2014/main" id="{00000000-0008-0000-0200-000002000000}"/>
            </a:ext>
          </a:extLst>
        </xdr:cNvPr>
        <xdr:cNvSpPr txBox="1"/>
      </xdr:nvSpPr>
      <xdr:spPr>
        <a:xfrm>
          <a:off x="14276295" y="123265"/>
          <a:ext cx="6129618" cy="24653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solidFill>
                <a:schemeClr val="bg1"/>
              </a:solidFill>
            </a:rPr>
            <a:t>Anmerkung: Für LOBSTER-Profil AL_agrar_async_imp_PN_101</a:t>
          </a:r>
        </a:p>
      </xdr:txBody>
    </xdr:sp>
    <xdr:clientData/>
  </xdr:twoCellAnchor>
  <xdr:twoCellAnchor>
    <xdr:from>
      <xdr:col>17</xdr:col>
      <xdr:colOff>246530</xdr:colOff>
      <xdr:row>0</xdr:row>
      <xdr:rowOff>123265</xdr:rowOff>
    </xdr:from>
    <xdr:to>
      <xdr:col>24</xdr:col>
      <xdr:colOff>829237</xdr:colOff>
      <xdr:row>1</xdr:row>
      <xdr:rowOff>179295</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12476630" y="123265"/>
          <a:ext cx="5507132" cy="24653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solidFill>
                <a:schemeClr val="bg1"/>
              </a:solidFill>
            </a:rPr>
            <a:t>Anmerkung: Für LOBSTER-Profil AL_agrar_async_imp_PN_101</a:t>
          </a:r>
        </a:p>
      </xdr:txBody>
    </xdr:sp>
    <xdr:clientData/>
  </xdr:twoCellAnchor>
  <xdr:twoCellAnchor>
    <xdr:from>
      <xdr:col>17</xdr:col>
      <xdr:colOff>246530</xdr:colOff>
      <xdr:row>0</xdr:row>
      <xdr:rowOff>123265</xdr:rowOff>
    </xdr:from>
    <xdr:to>
      <xdr:col>24</xdr:col>
      <xdr:colOff>829237</xdr:colOff>
      <xdr:row>1</xdr:row>
      <xdr:rowOff>179295</xdr:rowOff>
    </xdr:to>
    <xdr:sp macro="" textlink="">
      <xdr:nvSpPr>
        <xdr:cNvPr id="4" name="Textfeld 3">
          <a:extLst>
            <a:ext uri="{FF2B5EF4-FFF2-40B4-BE49-F238E27FC236}">
              <a16:creationId xmlns:a16="http://schemas.microsoft.com/office/drawing/2014/main" id="{00000000-0008-0000-0200-000004000000}"/>
            </a:ext>
          </a:extLst>
        </xdr:cNvPr>
        <xdr:cNvSpPr txBox="1"/>
      </xdr:nvSpPr>
      <xdr:spPr>
        <a:xfrm>
          <a:off x="12476630" y="123265"/>
          <a:ext cx="5507132" cy="24653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solidFill>
                <a:schemeClr val="bg1"/>
              </a:solidFill>
            </a:rPr>
            <a:t>Anmerkung: Für LOBSTER-Profil AL_agrar_async_imp_PN_101</a:t>
          </a:r>
        </a:p>
      </xdr:txBody>
    </xdr:sp>
    <xdr:clientData/>
  </xdr:twoCellAnchor>
  <xdr:twoCellAnchor>
    <xdr:from>
      <xdr:col>17</xdr:col>
      <xdr:colOff>246530</xdr:colOff>
      <xdr:row>0</xdr:row>
      <xdr:rowOff>123265</xdr:rowOff>
    </xdr:from>
    <xdr:to>
      <xdr:col>24</xdr:col>
      <xdr:colOff>829237</xdr:colOff>
      <xdr:row>1</xdr:row>
      <xdr:rowOff>179295</xdr:rowOff>
    </xdr:to>
    <xdr:sp macro="" textlink="">
      <xdr:nvSpPr>
        <xdr:cNvPr id="5" name="Textfeld 4">
          <a:extLst>
            <a:ext uri="{FF2B5EF4-FFF2-40B4-BE49-F238E27FC236}">
              <a16:creationId xmlns:a16="http://schemas.microsoft.com/office/drawing/2014/main" id="{00000000-0008-0000-0200-000005000000}"/>
            </a:ext>
          </a:extLst>
        </xdr:cNvPr>
        <xdr:cNvSpPr txBox="1"/>
      </xdr:nvSpPr>
      <xdr:spPr>
        <a:xfrm>
          <a:off x="12476630" y="123265"/>
          <a:ext cx="5507132" cy="24653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solidFill>
                <a:schemeClr val="bg1"/>
              </a:solidFill>
            </a:rPr>
            <a:t>Anmerkung: Für LOBSTER-Profil AL_agrar_async_imp_PN_102</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1</xdr:row>
          <xdr:rowOff>85725</xdr:rowOff>
        </xdr:from>
        <xdr:to>
          <xdr:col>8</xdr:col>
          <xdr:colOff>409575</xdr:colOff>
          <xdr:row>9</xdr:row>
          <xdr:rowOff>123825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600" b="1" i="0" u="none" strike="noStrike" baseline="0">
                  <a:solidFill>
                    <a:srgbClr val="339966"/>
                  </a:solidFill>
                  <a:latin typeface="Arial"/>
                  <a:cs typeface="Arial"/>
                </a:rPr>
                <a:t>CSV für Agrolab</a:t>
              </a:r>
            </a:p>
            <a:p>
              <a:pPr algn="ctr" rtl="0">
                <a:defRPr sz="1000"/>
              </a:pPr>
              <a:r>
                <a:rPr lang="de-DE" sz="1600" b="1" i="0" u="none" strike="noStrike" baseline="0">
                  <a:solidFill>
                    <a:srgbClr val="339966"/>
                  </a:solidFill>
                  <a:latin typeface="Arial"/>
                  <a:cs typeface="Arial"/>
                </a:rPr>
                <a:t>PDF zum Ausdruck für Kiste</a:t>
              </a:r>
            </a:p>
            <a:p>
              <a:pPr algn="ctr" rtl="0">
                <a:defRPr sz="1000"/>
              </a:pPr>
              <a:r>
                <a:rPr lang="de-DE" sz="1600" b="1" i="0" u="none" strike="noStrike" baseline="0">
                  <a:solidFill>
                    <a:srgbClr val="339966"/>
                  </a:solidFill>
                  <a:latin typeface="Arial"/>
                  <a:cs typeface="Arial"/>
                </a:rPr>
                <a:t>XLSM als Quittung oder Vorlage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xdr:row>
          <xdr:rowOff>95250</xdr:rowOff>
        </xdr:from>
        <xdr:to>
          <xdr:col>13</xdr:col>
          <xdr:colOff>428625</xdr:colOff>
          <xdr:row>9</xdr:row>
          <xdr:rowOff>123825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2000" b="0" i="0" u="none" strike="noStrike" baseline="0">
                  <a:solidFill>
                    <a:srgbClr val="FF6600"/>
                  </a:solidFill>
                  <a:latin typeface="Arial"/>
                  <a:cs typeface="Arial"/>
                </a:rPr>
                <a:t>XLSM wiederverwerten</a:t>
              </a:r>
            </a:p>
            <a:p>
              <a:pPr algn="ctr" rtl="0">
                <a:defRPr sz="1000"/>
              </a:pPr>
              <a:r>
                <a:rPr lang="de-DE" sz="2000" b="0" i="0" u="none" strike="noStrike" baseline="0">
                  <a:solidFill>
                    <a:srgbClr val="FF6600"/>
                  </a:solidFill>
                  <a:latin typeface="Arial"/>
                  <a:cs typeface="Arial"/>
                </a:rPr>
                <a:t>(MANUELL rotes Excel-Blatt LÖSCHEN!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164</xdr:row>
      <xdr:rowOff>0</xdr:rowOff>
    </xdr:from>
    <xdr:to>
      <xdr:col>6</xdr:col>
      <xdr:colOff>619125</xdr:colOff>
      <xdr:row>178</xdr:row>
      <xdr:rowOff>0</xdr:rowOff>
    </xdr:to>
    <xdr:pic>
      <xdr:nvPicPr>
        <xdr:cNvPr id="7" name="Grafik 6">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stretch>
          <a:fillRect/>
        </a:stretch>
      </xdr:blipFill>
      <xdr:spPr>
        <a:xfrm>
          <a:off x="762000" y="30060900"/>
          <a:ext cx="4429125" cy="2667000"/>
        </a:xfrm>
        <a:prstGeom prst="rect">
          <a:avLst/>
        </a:prstGeom>
        <a:ln>
          <a:solidFill>
            <a:sysClr val="windowText" lastClr="000000"/>
          </a:solidFill>
        </a:ln>
      </xdr:spPr>
    </xdr:pic>
    <xdr:clientData/>
  </xdr:twoCellAnchor>
  <xdr:twoCellAnchor editAs="oneCell">
    <xdr:from>
      <xdr:col>1</xdr:col>
      <xdr:colOff>0</xdr:colOff>
      <xdr:row>182</xdr:row>
      <xdr:rowOff>0</xdr:rowOff>
    </xdr:from>
    <xdr:to>
      <xdr:col>8</xdr:col>
      <xdr:colOff>426720</xdr:colOff>
      <xdr:row>190</xdr:row>
      <xdr:rowOff>97790</xdr:rowOff>
    </xdr:to>
    <xdr:pic>
      <xdr:nvPicPr>
        <xdr:cNvPr id="8" name="Grafik 7">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2"/>
        <a:stretch>
          <a:fillRect/>
        </a:stretch>
      </xdr:blipFill>
      <xdr:spPr>
        <a:xfrm>
          <a:off x="762000" y="33489900"/>
          <a:ext cx="5760720" cy="1621790"/>
        </a:xfrm>
        <a:prstGeom prst="rect">
          <a:avLst/>
        </a:prstGeom>
      </xdr:spPr>
    </xdr:pic>
    <xdr:clientData/>
  </xdr:twoCellAnchor>
  <xdr:twoCellAnchor editAs="oneCell">
    <xdr:from>
      <xdr:col>1</xdr:col>
      <xdr:colOff>0</xdr:colOff>
      <xdr:row>203</xdr:row>
      <xdr:rowOff>0</xdr:rowOff>
    </xdr:from>
    <xdr:to>
      <xdr:col>8</xdr:col>
      <xdr:colOff>171450</xdr:colOff>
      <xdr:row>214</xdr:row>
      <xdr:rowOff>133350</xdr:rowOff>
    </xdr:to>
    <xdr:pic>
      <xdr:nvPicPr>
        <xdr:cNvPr id="11" name="Grafik 10">
          <a:extLst>
            <a:ext uri="{FF2B5EF4-FFF2-40B4-BE49-F238E27FC236}">
              <a16:creationId xmlns:a16="http://schemas.microsoft.com/office/drawing/2014/main" id="{00000000-0008-0000-0600-00000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2000" y="37566600"/>
          <a:ext cx="5505450" cy="2228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132</xdr:row>
      <xdr:rowOff>1</xdr:rowOff>
    </xdr:from>
    <xdr:to>
      <xdr:col>6</xdr:col>
      <xdr:colOff>115660</xdr:colOff>
      <xdr:row>157</xdr:row>
      <xdr:rowOff>1</xdr:rowOff>
    </xdr:to>
    <xdr:pic>
      <xdr:nvPicPr>
        <xdr:cNvPr id="13" name="Grafik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4"/>
        <a:stretch>
          <a:fillRect/>
        </a:stretch>
      </xdr:blipFill>
      <xdr:spPr>
        <a:xfrm>
          <a:off x="762000" y="26199354"/>
          <a:ext cx="3925660" cy="4762500"/>
        </a:xfrm>
        <a:prstGeom prst="rect">
          <a:avLst/>
        </a:prstGeom>
      </xdr:spPr>
    </xdr:pic>
    <xdr:clientData/>
  </xdr:twoCellAnchor>
  <xdr:twoCellAnchor editAs="oneCell">
    <xdr:from>
      <xdr:col>1</xdr:col>
      <xdr:colOff>0</xdr:colOff>
      <xdr:row>44</xdr:row>
      <xdr:rowOff>0</xdr:rowOff>
    </xdr:from>
    <xdr:to>
      <xdr:col>10</xdr:col>
      <xdr:colOff>463444</xdr:colOff>
      <xdr:row>71</xdr:row>
      <xdr:rowOff>179294</xdr:rowOff>
    </xdr:to>
    <xdr:pic>
      <xdr:nvPicPr>
        <xdr:cNvPr id="3" name="Grafik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5"/>
        <a:stretch>
          <a:fillRect/>
        </a:stretch>
      </xdr:blipFill>
      <xdr:spPr>
        <a:xfrm>
          <a:off x="762000" y="8886265"/>
          <a:ext cx="7321444" cy="5322794"/>
        </a:xfrm>
        <a:prstGeom prst="rect">
          <a:avLst/>
        </a:prstGeom>
      </xdr:spPr>
    </xdr:pic>
    <xdr:clientData/>
  </xdr:twoCellAnchor>
  <xdr:twoCellAnchor editAs="oneCell">
    <xdr:from>
      <xdr:col>1</xdr:col>
      <xdr:colOff>0</xdr:colOff>
      <xdr:row>222</xdr:row>
      <xdr:rowOff>0</xdr:rowOff>
    </xdr:from>
    <xdr:to>
      <xdr:col>11</xdr:col>
      <xdr:colOff>112059</xdr:colOff>
      <xdr:row>237</xdr:row>
      <xdr:rowOff>133131</xdr:rowOff>
    </xdr:to>
    <xdr:pic>
      <xdr:nvPicPr>
        <xdr:cNvPr id="14" name="Grafik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6"/>
        <a:stretch>
          <a:fillRect/>
        </a:stretch>
      </xdr:blipFill>
      <xdr:spPr>
        <a:xfrm>
          <a:off x="762000" y="44812324"/>
          <a:ext cx="7732059" cy="2990631"/>
        </a:xfrm>
        <a:prstGeom prst="rect">
          <a:avLst/>
        </a:prstGeom>
      </xdr:spPr>
    </xdr:pic>
    <xdr:clientData/>
  </xdr:twoCellAnchor>
  <xdr:twoCellAnchor editAs="oneCell">
    <xdr:from>
      <xdr:col>12</xdr:col>
      <xdr:colOff>0</xdr:colOff>
      <xdr:row>222</xdr:row>
      <xdr:rowOff>0</xdr:rowOff>
    </xdr:from>
    <xdr:to>
      <xdr:col>16</xdr:col>
      <xdr:colOff>666286</xdr:colOff>
      <xdr:row>230</xdr:row>
      <xdr:rowOff>133143</xdr:rowOff>
    </xdr:to>
    <xdr:pic>
      <xdr:nvPicPr>
        <xdr:cNvPr id="15" name="Grafik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7"/>
        <a:stretch>
          <a:fillRect/>
        </a:stretch>
      </xdr:blipFill>
      <xdr:spPr>
        <a:xfrm>
          <a:off x="9144000" y="44812324"/>
          <a:ext cx="3714286" cy="1657143"/>
        </a:xfrm>
        <a:prstGeom prst="rect">
          <a:avLst/>
        </a:prstGeom>
      </xdr:spPr>
    </xdr:pic>
    <xdr:clientData/>
  </xdr:twoCellAnchor>
  <xdr:twoCellAnchor editAs="oneCell">
    <xdr:from>
      <xdr:col>1</xdr:col>
      <xdr:colOff>0</xdr:colOff>
      <xdr:row>242</xdr:row>
      <xdr:rowOff>0</xdr:rowOff>
    </xdr:from>
    <xdr:to>
      <xdr:col>7</xdr:col>
      <xdr:colOff>224118</xdr:colOff>
      <xdr:row>250</xdr:row>
      <xdr:rowOff>80583</xdr:rowOff>
    </xdr:to>
    <xdr:pic>
      <xdr:nvPicPr>
        <xdr:cNvPr id="10" name="Grafik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8"/>
        <a:stretch>
          <a:fillRect/>
        </a:stretch>
      </xdr:blipFill>
      <xdr:spPr>
        <a:xfrm>
          <a:off x="762000" y="48857647"/>
          <a:ext cx="4796118" cy="1604583"/>
        </a:xfrm>
        <a:prstGeom prst="rect">
          <a:avLst/>
        </a:prstGeom>
      </xdr:spPr>
    </xdr:pic>
    <xdr:clientData/>
  </xdr:twoCellAnchor>
  <xdr:twoCellAnchor editAs="oneCell">
    <xdr:from>
      <xdr:col>1</xdr:col>
      <xdr:colOff>0</xdr:colOff>
      <xdr:row>80</xdr:row>
      <xdr:rowOff>0</xdr:rowOff>
    </xdr:from>
    <xdr:to>
      <xdr:col>15</xdr:col>
      <xdr:colOff>342900</xdr:colOff>
      <xdr:row>95</xdr:row>
      <xdr:rowOff>144257</xdr:rowOff>
    </xdr:to>
    <xdr:pic>
      <xdr:nvPicPr>
        <xdr:cNvPr id="16" name="Grafik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9"/>
        <a:stretch>
          <a:fillRect/>
        </a:stretch>
      </xdr:blipFill>
      <xdr:spPr>
        <a:xfrm>
          <a:off x="762000" y="16773525"/>
          <a:ext cx="11010900" cy="3001757"/>
        </a:xfrm>
        <a:prstGeom prst="rect">
          <a:avLst/>
        </a:prstGeom>
      </xdr:spPr>
    </xdr:pic>
    <xdr:clientData/>
  </xdr:twoCellAnchor>
  <xdr:twoCellAnchor editAs="oneCell">
    <xdr:from>
      <xdr:col>1</xdr:col>
      <xdr:colOff>0</xdr:colOff>
      <xdr:row>19</xdr:row>
      <xdr:rowOff>0</xdr:rowOff>
    </xdr:from>
    <xdr:to>
      <xdr:col>14</xdr:col>
      <xdr:colOff>28575</xdr:colOff>
      <xdr:row>35</xdr:row>
      <xdr:rowOff>120710</xdr:rowOff>
    </xdr:to>
    <xdr:pic>
      <xdr:nvPicPr>
        <xdr:cNvPr id="12" name="Grafik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10"/>
        <a:stretch>
          <a:fillRect/>
        </a:stretch>
      </xdr:blipFill>
      <xdr:spPr>
        <a:xfrm>
          <a:off x="762000" y="4000500"/>
          <a:ext cx="9934575" cy="3168710"/>
        </a:xfrm>
        <a:prstGeom prst="rect">
          <a:avLst/>
        </a:prstGeom>
      </xdr:spPr>
    </xdr:pic>
    <xdr:clientData/>
  </xdr:twoCellAnchor>
  <xdr:twoCellAnchor editAs="oneCell">
    <xdr:from>
      <xdr:col>1</xdr:col>
      <xdr:colOff>0</xdr:colOff>
      <xdr:row>104</xdr:row>
      <xdr:rowOff>0</xdr:rowOff>
    </xdr:from>
    <xdr:to>
      <xdr:col>14</xdr:col>
      <xdr:colOff>494000</xdr:colOff>
      <xdr:row>121</xdr:row>
      <xdr:rowOff>151976</xdr:rowOff>
    </xdr:to>
    <xdr:pic>
      <xdr:nvPicPr>
        <xdr:cNvPr id="17" name="Grafik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11"/>
        <a:stretch>
          <a:fillRect/>
        </a:stretch>
      </xdr:blipFill>
      <xdr:spPr>
        <a:xfrm>
          <a:off x="762000" y="21831300"/>
          <a:ext cx="10400000" cy="339047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_proben" displayName="t_proben" ref="A6:AA8" totalsRowShown="0" headerRowDxfId="81" dataDxfId="79" headerRowBorderDxfId="80" tableBorderDxfId="78">
  <autoFilter ref="A6:AA8" xr:uid="{00000000-0009-0000-0100-000003000000}"/>
  <tableColumns count="27">
    <tableColumn id="8" xr3:uid="{00000000-0010-0000-0000-000008000000}" name="Bemerkung 2" dataCellStyle="Bemerkung"/>
    <tableColumn id="23" xr3:uid="{00000000-0010-0000-0000-000017000000}" name="Bemerkung 22" dataCellStyle="Bemerkung"/>
    <tableColumn id="21" xr3:uid="{00000000-0010-0000-0000-000015000000}" name="Bemerkung 3" dataCellStyle="Bemerkung"/>
    <tableColumn id="2" xr3:uid="{00000000-0010-0000-0000-000002000000}" name="lfd.Nr. /GPS" dataDxfId="77" dataCellStyle="lfd Nr">
      <calculatedColumnFormula>IF(ISBLANK(E7),"",ROW(7:7)-7)</calculatedColumnFormula>
    </tableColumn>
    <tableColumn id="1" xr3:uid="{00000000-0010-0000-0000-000001000000}" name="Tütenbarcode" dataDxfId="76" dataCellStyle="Barcode"/>
    <tableColumn id="3" xr3:uid="{00000000-0010-0000-0000-000003000000}" name="Schlagnr." dataDxfId="75"/>
    <tableColumn id="6" xr3:uid="{00000000-0010-0000-0000-000006000000}" name="Teilschlagnr." dataDxfId="74"/>
    <tableColumn id="4" xr3:uid="{00000000-0010-0000-0000-000004000000}" name="Schlagname" dataDxfId="73"/>
    <tableColumn id="5" xr3:uid="{00000000-0010-0000-0000-000005000000}" name="S-Erweiterung" dataDxfId="72"/>
    <tableColumn id="7" xr3:uid="{00000000-0010-0000-0000-000007000000}" name="Schlag-größe_x000a_[ha]" dataDxfId="71"/>
    <tableColumn id="26" xr3:uid="{00000000-0010-0000-0000-00001A000000}" name="Spalte3" dataDxfId="70"/>
    <tableColumn id="9" xr3:uid="{00000000-0010-0000-0000-000009000000}" name="Nutzung _x000a_[A/G]" dataDxfId="69">
      <calculatedColumnFormula>IF(ISBLANK(E7),"A","A")</calculatedColumnFormula>
    </tableColumn>
    <tableColumn id="10" xr3:uid="{00000000-0010-0000-0000-00000A000000}" name="Ernte-reste abg._x000a_[j/n]" dataDxfId="68"/>
    <tableColumn id="27" xr3:uid="{00000000-0010-0000-0000-00001B000000}" name="Spalte4" dataDxfId="67"/>
    <tableColumn id="24" xr3:uid="{00000000-0010-0000-0000-000018000000}" name="Spalte2" dataDxfId="66" dataCellStyle="Bodenart"/>
    <tableColumn id="22" xr3:uid="{00000000-0010-0000-0000-000016000000}" name="Spalte1" dataDxfId="65" dataCellStyle="Bodenart"/>
    <tableColumn id="11" xr3:uid="{00000000-0010-0000-0000-00000B000000}" name="Standard pH/P/K/Mg" dataDxfId="64" dataCellStyle="Analysenumfang">
      <calculatedColumnFormula>IF(ISBLANK(E7),"x","x")</calculatedColumnFormula>
    </tableColumn>
    <tableColumn id="12" xr3:uid="{00000000-0010-0000-0000-00000C000000}" name="Spuren CAT_x000a_Na,Mn,Cu,B,Zn" dataDxfId="63" dataCellStyle="Analysenumfang"/>
    <tableColumn id="13" xr3:uid="{00000000-0010-0000-0000-00000D000000}" name="Humus-gehalt" dataDxfId="62" dataCellStyle="Analysenumfang"/>
    <tableColumn id="14" xr3:uid="{00000000-0010-0000-0000-00000E000000}" name="C/N-Verhältnis" dataDxfId="61" dataCellStyle="Analysenumfang"/>
    <tableColumn id="15" xr3:uid="{00000000-0010-0000-0000-00000F000000}" name="Kali-Fixierung" dataDxfId="60" dataCellStyle="Analysenumfang"/>
    <tableColumn id="16" xr3:uid="{00000000-0010-0000-0000-000010000000}" name="Calcium" dataDxfId="59" dataCellStyle="Analysenumfang"/>
    <tableColumn id="17" xr3:uid="{00000000-0010-0000-0000-000011000000}" name="KAK eff" dataDxfId="58" dataCellStyle="Analysenumfang"/>
    <tableColumn id="18" xr3:uid="{00000000-0010-0000-0000-000012000000}" name="KAK pot" dataDxfId="57" dataCellStyle="Analysenumfang"/>
    <tableColumn id="19" xr3:uid="{00000000-0010-0000-0000-000013000000}" name="Korngrößen-verteilung" dataDxfId="56" dataCellStyle="Analysenumfang"/>
    <tableColumn id="20" xr3:uid="{00000000-0010-0000-0000-000014000000}" name="P-Freiset-zungsrate" dataDxfId="55" dataCellStyle="Analysenumfang"/>
    <tableColumn id="25" xr3:uid="{00000000-0010-0000-0000-000019000000}" name="Codeliste" dataDxfId="54" dataCellStyle="Analysenumfang"/>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_Nutzung" displayName="t_Nutzung" ref="A3:B9" totalsRowShown="0" headerRowDxfId="47" dataDxfId="46">
  <autoFilter ref="A3:B9" xr:uid="{00000000-0009-0000-0100-000001000000}"/>
  <tableColumns count="2">
    <tableColumn id="1" xr3:uid="{00000000-0010-0000-0100-000001000000}" name="Abkürzung Nutzung" dataDxfId="45"/>
    <tableColumn id="2" xr3:uid="{00000000-0010-0000-0100-000002000000}" name="Langtext Nutzung"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_Erntereste" displayName="t_Erntereste" ref="E3:F5" totalsRowShown="0" headerRowDxfId="43" dataDxfId="42">
  <autoFilter ref="E3:F5" xr:uid="{00000000-0009-0000-0100-000002000000}"/>
  <tableColumns count="2">
    <tableColumn id="1" xr3:uid="{00000000-0010-0000-0200-000001000000}" name="Abkürzung Erntereste" dataDxfId="41"/>
    <tableColumn id="2" xr3:uid="{00000000-0010-0000-0200-000002000000}" name="Langtext Erntereste" dataDxfId="4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_Fruchtarten_Nährstoffe" displayName="t_Fruchtarten_Nährstoffe" ref="H3:P77" totalsRowShown="0" headerRowDxfId="39" dataDxfId="38">
  <autoFilter ref="H3:P77" xr:uid="{00000000-0009-0000-0100-000005000000}"/>
  <sortState ref="H4:P77">
    <sortCondition ref="K3:K77"/>
  </sortState>
  <tableColumns count="9">
    <tableColumn id="8" xr3:uid="{00000000-0010-0000-0300-000008000000}" name="Prio" dataDxfId="37"/>
    <tableColumn id="9" xr3:uid="{00000000-0010-0000-0300-000009000000}" name="Sortierung" dataDxfId="36">
      <calculatedColumnFormula>LEFT(t_Fruchtarten_Nährstoffe[[#This Row],[FRUARTTEXT]],1)</calculatedColumnFormula>
    </tableColumn>
    <tableColumn id="1" xr3:uid="{00000000-0010-0000-0300-000001000000}" name="FRUART" dataDxfId="35"/>
    <tableColumn id="2" xr3:uid="{00000000-0010-0000-0300-000002000000}" name="FRUARTTEXT" dataDxfId="34"/>
    <tableColumn id="4" xr3:uid="{00000000-0010-0000-0300-000004000000}" name="P2O5" dataDxfId="33"/>
    <tableColumn id="3" xr3:uid="{00000000-0010-0000-0300-000003000000}" name="K2O" dataDxfId="32"/>
    <tableColumn id="5" xr3:uid="{00000000-0010-0000-0300-000005000000}" name="ERTRAG" dataDxfId="31"/>
    <tableColumn id="6" xr3:uid="{00000000-0010-0000-0300-000006000000}" name="P2O5_BRUTTO" dataDxfId="30"/>
    <tableColumn id="7" xr3:uid="{00000000-0010-0000-0300-000007000000}" name="K2O_BRUTTO" dataDxfId="2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_Labore" displayName="t_Labore" ref="A18:C21" totalsRowShown="0" headerRowDxfId="28" dataDxfId="27">
  <autoFilter ref="A18:C21" xr:uid="{00000000-0009-0000-0100-000004000000}"/>
  <tableColumns count="3">
    <tableColumn id="1" xr3:uid="{00000000-0010-0000-0400-000001000000}" name="Standort" dataDxfId="26"/>
    <tableColumn id="2" xr3:uid="{00000000-0010-0000-0400-000002000000}" name="Kürzel" dataDxfId="25"/>
    <tableColumn id="3" xr3:uid="{00000000-0010-0000-0400-000003000000}" name="Nr" dataDxfId="24"/>
  </tableColumns>
  <tableStyleInfo name="TableStyleLight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_Extraktion" displayName="t_Extraktion" ref="A25:B27" totalsRowShown="0" headerRowDxfId="23" dataDxfId="22">
  <autoFilter ref="A25:B27" xr:uid="{00000000-0009-0000-0100-000006000000}"/>
  <tableColumns count="2">
    <tableColumn id="1" xr3:uid="{00000000-0010-0000-0500-000001000000}" name="Abkürzung" dataDxfId="21"/>
    <tableColumn id="2" xr3:uid="{00000000-0010-0000-0500-000002000000}" name="Lang" dataDxfId="20"/>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_Trockengebiet" displayName="t_Trockengebiet" ref="A33:B35" totalsRowShown="0" headerRowDxfId="19" dataDxfId="18">
  <autoFilter ref="A33:B35" xr:uid="{00000000-0009-0000-0100-000007000000}"/>
  <tableColumns count="2">
    <tableColumn id="1" xr3:uid="{00000000-0010-0000-0600-000001000000}" name="Trockengebiet" dataDxfId="17"/>
    <tableColumn id="2" xr3:uid="{00000000-0010-0000-0600-000002000000}" name="Auswahl" dataDxfId="16"/>
  </tableColumns>
  <tableStyleInfo name="TableStyleLight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_Boden_Schwer" displayName="t_Boden_Schwer" ref="A39:B41" totalsRowShown="0" headerRowDxfId="15" dataDxfId="14">
  <autoFilter ref="A39:B41" xr:uid="{00000000-0009-0000-0100-000008000000}"/>
  <tableColumns count="2">
    <tableColumn id="1" xr3:uid="{00000000-0010-0000-0700-000001000000}" name="Boden schwer" dataDxfId="13"/>
    <tableColumn id="2" xr3:uid="{00000000-0010-0000-0700-000002000000}" name="Auswahl" dataDxfId="12"/>
  </tableColumns>
  <tableStyleInfo name="Tabellenformat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_AGB" displayName="t_AGB" ref="E12:F13" totalsRowShown="0" headerRowDxfId="11" dataDxfId="10">
  <autoFilter ref="E12:F13" xr:uid="{00000000-0009-0000-0100-000009000000}"/>
  <tableColumns count="2">
    <tableColumn id="1" xr3:uid="{00000000-0010-0000-0800-000001000000}" name="AGB akzeptieren" dataDxfId="9"/>
    <tableColumn id="2" xr3:uid="{00000000-0010-0000-0800-000002000000}" name="Status" dataDxfId="8"/>
  </tableColumns>
  <tableStyleInfo name="TableStyleLight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_Analyse" displayName="t_Analyse" ref="E16:F17" totalsRowShown="0" headerRowDxfId="7" dataDxfId="6">
  <autoFilter ref="E16:F17" xr:uid="{00000000-0009-0000-0100-00000A000000}"/>
  <tableColumns count="2">
    <tableColumn id="1" xr3:uid="{00000000-0010-0000-0900-000001000000}" name="Analyseumpfang" dataDxfId="5"/>
    <tableColumn id="2" xr3:uid="{00000000-0010-0000-0900-000002000000}" name="Auswahl" dataDxfId="4"/>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_Auftrag_je_Schlag" displayName="t_Auftrag_je_Schlag" ref="E20:F21" totalsRowShown="0" headerRowDxfId="3" dataDxfId="2">
  <autoFilter ref="E20:F21" xr:uid="{00000000-0009-0000-0100-00000B000000}"/>
  <tableColumns count="2">
    <tableColumn id="1" xr3:uid="{00000000-0010-0000-0A00-000001000000}" name="Auftrag je Schlag" dataDxfId="1"/>
    <tableColumn id="2" xr3:uid="{00000000-0010-0000-0A00-000002000000}" name="Auswahl" dataDxfId="0"/>
  </tableColumns>
  <tableStyleInfo name="TableStyleLight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control" Target="../activeX/activeX7.xml"/><Relationship Id="rId2" Type="http://schemas.openxmlformats.org/officeDocument/2006/relationships/printerSettings" Target="../printerSettings/printerSettings1.bin"/><Relationship Id="rId1" Type="http://schemas.openxmlformats.org/officeDocument/2006/relationships/hyperlink" Target="https://www.agrolab.com/de/agb.html" TargetMode="External"/><Relationship Id="rId6" Type="http://schemas.openxmlformats.org/officeDocument/2006/relationships/image" Target="../media/image1.emf"/><Relationship Id="rId11" Type="http://schemas.openxmlformats.org/officeDocument/2006/relationships/control" Target="../activeX/activeX6.xml"/><Relationship Id="rId5" Type="http://schemas.openxmlformats.org/officeDocument/2006/relationships/control" Target="../activeX/activeX1.xml"/><Relationship Id="rId10" Type="http://schemas.openxmlformats.org/officeDocument/2006/relationships/control" Target="../activeX/activeX5.xml"/><Relationship Id="rId4" Type="http://schemas.openxmlformats.org/officeDocument/2006/relationships/vmlDrawing" Target="../drawings/vmlDrawing1.vml"/><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5.bin"/><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tabColor rgb="FFFFFF00"/>
    <pageSetUpPr fitToPage="1"/>
  </sheetPr>
  <dimension ref="B1:J42"/>
  <sheetViews>
    <sheetView showRuler="0" zoomScale="70" zoomScaleNormal="70" zoomScalePageLayoutView="55" workbookViewId="0"/>
  </sheetViews>
  <sheetFormatPr baseColWidth="10" defaultColWidth="11.42578125" defaultRowHeight="15"/>
  <cols>
    <col min="2" max="2" width="43.7109375" customWidth="1"/>
    <col min="3" max="3" width="44.42578125" customWidth="1"/>
    <col min="6" max="6" width="30.140625" customWidth="1"/>
    <col min="7" max="7" width="31.42578125" customWidth="1"/>
    <col min="8" max="8" width="27.85546875" customWidth="1"/>
    <col min="9" max="9" width="12.42578125" customWidth="1"/>
  </cols>
  <sheetData>
    <row r="1" spans="2:8" ht="15.75" thickBot="1"/>
    <row r="2" spans="2:8" ht="26.25" customHeight="1" thickTop="1" thickBot="1">
      <c r="B2" s="24" t="s">
        <v>0</v>
      </c>
      <c r="C2" s="25"/>
      <c r="D2" s="12"/>
      <c r="E2" s="2"/>
      <c r="F2" s="2"/>
      <c r="G2" s="2"/>
      <c r="H2" s="2"/>
    </row>
    <row r="3" spans="2:8" ht="21.75" thickTop="1" thickBot="1">
      <c r="B3" s="26"/>
      <c r="C3" s="27"/>
      <c r="D3" s="2"/>
      <c r="E3" s="2"/>
      <c r="F3" s="179" t="s">
        <v>1</v>
      </c>
      <c r="G3" s="153"/>
      <c r="H3" s="2"/>
    </row>
    <row r="4" spans="2:8" ht="22.5" thickTop="1" thickBot="1">
      <c r="B4" s="12"/>
      <c r="C4" s="193" t="s">
        <v>2</v>
      </c>
      <c r="D4" s="2"/>
      <c r="E4" s="2"/>
      <c r="F4" s="150" t="s">
        <v>944</v>
      </c>
      <c r="G4" s="166"/>
      <c r="H4" s="2"/>
    </row>
    <row r="5" spans="2:8" ht="22.5" thickTop="1" thickBot="1">
      <c r="B5" s="9" t="s">
        <v>3</v>
      </c>
      <c r="C5" s="164"/>
      <c r="D5" s="2"/>
      <c r="E5" s="2"/>
      <c r="F5" s="150" t="s">
        <v>945</v>
      </c>
      <c r="G5" s="166"/>
      <c r="H5" s="2"/>
    </row>
    <row r="6" spans="2:8" ht="21.75" thickTop="1" thickBot="1">
      <c r="B6" s="12"/>
      <c r="C6" s="2"/>
      <c r="D6" s="2"/>
      <c r="E6" s="2"/>
      <c r="F6" s="2"/>
      <c r="G6" s="2"/>
      <c r="H6" s="2"/>
    </row>
    <row r="7" spans="2:8" ht="21" thickTop="1">
      <c r="B7" s="18" t="s">
        <v>4</v>
      </c>
      <c r="C7" s="19"/>
      <c r="D7" s="2"/>
      <c r="E7" s="2"/>
      <c r="F7" s="20" t="s">
        <v>5</v>
      </c>
      <c r="G7" s="21"/>
    </row>
    <row r="8" spans="2:8" ht="20.25">
      <c r="B8" s="7" t="s">
        <v>6</v>
      </c>
      <c r="C8" s="242"/>
      <c r="D8" s="2"/>
      <c r="E8" s="2"/>
      <c r="F8" s="7" t="s">
        <v>7</v>
      </c>
      <c r="G8" s="190"/>
    </row>
    <row r="9" spans="2:8" ht="20.25">
      <c r="B9" s="7" t="s">
        <v>8</v>
      </c>
      <c r="C9" s="190"/>
      <c r="D9" s="2"/>
      <c r="E9" s="2"/>
      <c r="F9" s="7" t="s">
        <v>9</v>
      </c>
      <c r="G9" s="190"/>
    </row>
    <row r="10" spans="2:8" ht="20.25">
      <c r="B10" s="7" t="s">
        <v>10</v>
      </c>
      <c r="C10" s="54"/>
      <c r="D10" s="2"/>
      <c r="E10" s="2"/>
      <c r="F10" s="7" t="s">
        <v>10</v>
      </c>
      <c r="G10" s="190"/>
    </row>
    <row r="11" spans="2:8" ht="20.25">
      <c r="B11" s="7" t="s">
        <v>11</v>
      </c>
      <c r="C11" s="242"/>
      <c r="D11" s="2"/>
      <c r="E11" s="2"/>
      <c r="F11" s="7" t="s">
        <v>11</v>
      </c>
      <c r="G11" s="191"/>
    </row>
    <row r="12" spans="2:8" ht="20.25">
      <c r="B12" s="7" t="s">
        <v>12</v>
      </c>
      <c r="C12" s="54"/>
      <c r="D12" s="2"/>
      <c r="E12" s="2"/>
      <c r="F12" s="7" t="s">
        <v>12</v>
      </c>
      <c r="G12" s="190"/>
    </row>
    <row r="13" spans="2:8" ht="20.25">
      <c r="B13" s="7" t="s">
        <v>13</v>
      </c>
      <c r="C13" s="55"/>
      <c r="D13" s="2"/>
      <c r="E13" s="2"/>
      <c r="F13" s="7" t="s">
        <v>13</v>
      </c>
      <c r="G13" s="192"/>
    </row>
    <row r="14" spans="2:8" ht="20.25">
      <c r="B14" s="7" t="s">
        <v>14</v>
      </c>
      <c r="C14" s="54"/>
      <c r="D14" s="2"/>
      <c r="E14" s="2"/>
      <c r="F14" s="7" t="s">
        <v>14</v>
      </c>
      <c r="G14" s="190"/>
    </row>
    <row r="15" spans="2:8" ht="20.25">
      <c r="B15" s="7" t="s">
        <v>15</v>
      </c>
      <c r="C15" s="243"/>
      <c r="D15" s="2"/>
      <c r="E15" s="2"/>
      <c r="F15" s="7" t="s">
        <v>15</v>
      </c>
      <c r="G15" s="190"/>
    </row>
    <row r="16" spans="2:8" ht="20.25">
      <c r="B16" s="7" t="s">
        <v>16</v>
      </c>
      <c r="C16" s="46"/>
      <c r="D16" s="2"/>
      <c r="E16" s="2"/>
      <c r="F16" s="7" t="s">
        <v>16</v>
      </c>
      <c r="G16" s="46"/>
    </row>
    <row r="17" spans="2:8" ht="20.25">
      <c r="B17" s="7" t="s">
        <v>17</v>
      </c>
      <c r="C17" s="54"/>
      <c r="D17" s="2"/>
      <c r="E17" s="2"/>
      <c r="F17" s="7" t="s">
        <v>17</v>
      </c>
      <c r="G17" s="190"/>
    </row>
    <row r="18" spans="2:8" ht="20.25">
      <c r="B18" s="197" t="s">
        <v>18</v>
      </c>
      <c r="C18" s="54"/>
      <c r="D18" s="2"/>
      <c r="E18" s="2"/>
      <c r="F18" s="7" t="s">
        <v>18</v>
      </c>
      <c r="G18" s="190"/>
    </row>
    <row r="19" spans="2:8" ht="21" thickBot="1">
      <c r="B19" s="8" t="s">
        <v>19</v>
      </c>
      <c r="C19" s="22"/>
      <c r="D19" s="2"/>
      <c r="E19" s="2"/>
      <c r="F19" s="8" t="s">
        <v>19</v>
      </c>
      <c r="G19" s="42"/>
    </row>
    <row r="20" spans="2:8" ht="21.75" thickTop="1" thickBot="1">
      <c r="B20" s="12"/>
      <c r="C20" s="5"/>
      <c r="D20" s="2"/>
      <c r="E20" s="2"/>
      <c r="F20" s="2"/>
      <c r="G20" s="5"/>
      <c r="H20" s="5"/>
    </row>
    <row r="21" spans="2:8" ht="21" thickTop="1">
      <c r="B21" s="108" t="s">
        <v>20</v>
      </c>
      <c r="C21" s="109"/>
      <c r="D21" s="2"/>
      <c r="E21" s="2"/>
      <c r="F21" s="6" t="s">
        <v>21</v>
      </c>
      <c r="G21" s="47"/>
    </row>
    <row r="22" spans="2:8" ht="21" thickBot="1">
      <c r="B22" s="110" t="s">
        <v>22</v>
      </c>
      <c r="C22" s="165"/>
      <c r="D22" s="2"/>
      <c r="E22" s="2"/>
      <c r="F22" s="10" t="s">
        <v>23</v>
      </c>
      <c r="G22" s="48"/>
    </row>
    <row r="23" spans="2:8" ht="21" thickBot="1">
      <c r="B23" s="12"/>
      <c r="C23" s="5"/>
      <c r="D23" s="2"/>
      <c r="E23" s="2"/>
      <c r="F23" s="16"/>
      <c r="G23" s="15"/>
      <c r="H23" s="15"/>
    </row>
    <row r="24" spans="2:8" ht="22.5" thickTop="1" thickBot="1">
      <c r="B24" s="150" t="s">
        <v>24</v>
      </c>
      <c r="C24" s="166"/>
      <c r="D24" s="2"/>
      <c r="E24" s="2"/>
      <c r="F24" s="6" t="s">
        <v>25</v>
      </c>
      <c r="G24" s="230"/>
      <c r="H24" s="49" t="s">
        <v>26</v>
      </c>
    </row>
    <row r="25" spans="2:8" ht="21" thickBot="1">
      <c r="B25" s="12"/>
      <c r="C25" s="2"/>
      <c r="D25" s="2"/>
      <c r="E25" s="2"/>
      <c r="F25" s="7" t="s">
        <v>27</v>
      </c>
      <c r="G25" s="231"/>
      <c r="H25" s="50" t="s">
        <v>28</v>
      </c>
    </row>
    <row r="26" spans="2:8" ht="21.75" customHeight="1" thickTop="1" thickBot="1">
      <c r="B26" s="18" t="s">
        <v>29</v>
      </c>
      <c r="C26" s="19"/>
      <c r="D26" s="2"/>
      <c r="E26" s="2"/>
      <c r="F26" s="8" t="s">
        <v>30</v>
      </c>
      <c r="G26" s="232"/>
      <c r="H26" s="51" t="s">
        <v>31</v>
      </c>
    </row>
    <row r="27" spans="2:8" ht="22.5" customHeight="1" thickTop="1" thickBot="1">
      <c r="B27" s="7" t="s">
        <v>32</v>
      </c>
      <c r="C27" s="37"/>
      <c r="D27" s="2"/>
      <c r="E27" s="2"/>
      <c r="F27" s="14"/>
      <c r="G27" s="14"/>
      <c r="H27" s="14"/>
    </row>
    <row r="28" spans="2:8" ht="21" thickTop="1">
      <c r="B28" s="7" t="s">
        <v>33</v>
      </c>
      <c r="C28" s="37"/>
      <c r="D28" s="2"/>
      <c r="E28" s="2"/>
      <c r="F28" s="6" t="s">
        <v>34</v>
      </c>
      <c r="G28" s="33" t="s">
        <v>986</v>
      </c>
      <c r="H28" s="34" t="s">
        <v>35</v>
      </c>
    </row>
    <row r="29" spans="2:8" ht="20.25">
      <c r="B29" s="11" t="s">
        <v>36</v>
      </c>
      <c r="C29" s="38"/>
      <c r="D29" s="2"/>
      <c r="E29" s="2"/>
      <c r="F29" s="43">
        <v>1</v>
      </c>
      <c r="G29" s="159" t="s">
        <v>1032</v>
      </c>
      <c r="H29" s="239"/>
    </row>
    <row r="30" spans="2:8" ht="20.25">
      <c r="B30" s="11" t="s">
        <v>37</v>
      </c>
      <c r="C30" s="23"/>
      <c r="D30" s="2"/>
      <c r="E30" s="2"/>
      <c r="F30" s="44">
        <v>2</v>
      </c>
      <c r="G30" s="160" t="s">
        <v>1032</v>
      </c>
      <c r="H30" s="240"/>
    </row>
    <row r="31" spans="2:8" ht="20.25">
      <c r="B31" s="7" t="s">
        <v>38</v>
      </c>
      <c r="C31" s="56"/>
      <c r="D31" s="32" t="s">
        <v>39</v>
      </c>
      <c r="E31" s="32"/>
      <c r="F31" s="44">
        <v>3</v>
      </c>
      <c r="G31" s="160" t="s">
        <v>1032</v>
      </c>
      <c r="H31" s="240"/>
    </row>
    <row r="32" spans="2:8" ht="20.25">
      <c r="B32" s="7" t="s">
        <v>40</v>
      </c>
      <c r="C32" s="39"/>
      <c r="D32" s="32" t="s">
        <v>41</v>
      </c>
      <c r="E32" s="2"/>
      <c r="F32" s="44">
        <v>4</v>
      </c>
      <c r="G32" s="160" t="s">
        <v>1032</v>
      </c>
      <c r="H32" s="240"/>
    </row>
    <row r="33" spans="2:10" ht="20.25">
      <c r="B33" s="30" t="s">
        <v>42</v>
      </c>
      <c r="C33" s="39"/>
      <c r="D33" s="32" t="s">
        <v>43</v>
      </c>
      <c r="E33" s="2"/>
      <c r="F33" s="44">
        <v>5</v>
      </c>
      <c r="G33" s="160" t="s">
        <v>1032</v>
      </c>
      <c r="H33" s="240"/>
    </row>
    <row r="34" spans="2:10" ht="20.25">
      <c r="B34" s="30" t="s">
        <v>44</v>
      </c>
      <c r="C34" s="31"/>
      <c r="D34" s="32" t="s">
        <v>45</v>
      </c>
      <c r="E34" s="2"/>
      <c r="F34" s="44">
        <v>6</v>
      </c>
      <c r="G34" s="160" t="s">
        <v>1032</v>
      </c>
      <c r="H34" s="240"/>
    </row>
    <row r="35" spans="2:10" ht="21" thickBot="1">
      <c r="B35" s="7" t="s">
        <v>46</v>
      </c>
      <c r="C35" s="39"/>
      <c r="D35" s="28" t="s">
        <v>47</v>
      </c>
      <c r="E35" s="36"/>
      <c r="F35" s="45">
        <v>7</v>
      </c>
      <c r="G35" s="161" t="s">
        <v>1032</v>
      </c>
      <c r="H35" s="241"/>
    </row>
    <row r="36" spans="2:10" ht="21.75" thickTop="1" thickBot="1">
      <c r="B36" s="7" t="s">
        <v>48</v>
      </c>
      <c r="C36" s="40"/>
      <c r="D36" s="28" t="s">
        <v>49</v>
      </c>
      <c r="E36" s="2"/>
      <c r="F36" s="35"/>
      <c r="G36" s="13"/>
      <c r="H36" s="13"/>
    </row>
    <row r="37" spans="2:10" ht="21.75" thickTop="1" thickBot="1">
      <c r="B37" s="8" t="s">
        <v>50</v>
      </c>
      <c r="C37" s="41"/>
      <c r="D37" s="28" t="s">
        <v>51</v>
      </c>
      <c r="E37" s="2"/>
      <c r="F37" s="59" t="s">
        <v>52</v>
      </c>
      <c r="G37" s="57"/>
      <c r="H37" s="58" t="s">
        <v>53</v>
      </c>
    </row>
    <row r="38" spans="2:10" ht="21" thickTop="1">
      <c r="B38" s="2"/>
      <c r="C38" s="29"/>
      <c r="D38" s="2"/>
      <c r="E38" s="2"/>
      <c r="F38" s="189" t="s">
        <v>54</v>
      </c>
      <c r="G38" s="2"/>
      <c r="H38" s="2"/>
    </row>
    <row r="39" spans="2:10" ht="20.25">
      <c r="B39" s="2"/>
      <c r="C39" s="2"/>
      <c r="D39" s="2"/>
      <c r="E39" s="2"/>
      <c r="F39" s="2"/>
      <c r="G39" s="2"/>
      <c r="H39" s="2"/>
    </row>
    <row r="40" spans="2:10" ht="20.25">
      <c r="B40" s="2"/>
      <c r="C40" s="2"/>
      <c r="D40" s="2"/>
      <c r="E40" s="2"/>
      <c r="F40" s="2"/>
      <c r="G40" s="2"/>
      <c r="H40" s="2"/>
    </row>
    <row r="41" spans="2:10" ht="20.25">
      <c r="I41" s="2"/>
      <c r="J41" s="2"/>
    </row>
    <row r="42" spans="2:10" ht="20.25">
      <c r="I42" s="2"/>
      <c r="J42" s="2"/>
    </row>
  </sheetData>
  <dataValidations xWindow="1571" yWindow="254" count="19">
    <dataValidation type="whole" operator="greaterThan" allowBlank="1" showInputMessage="1" showErrorMessage="1" errorTitle="Falscheingabe" error="Hier bitte NUR Ihre Werbernummer eintragen!" sqref="C28" xr:uid="{00000000-0002-0000-0000-000000000000}">
      <formula1>0</formula1>
    </dataValidation>
    <dataValidation type="whole" operator="notEqual" allowBlank="1" showInputMessage="1" showErrorMessage="1" errorTitle="Falscheingabe" error="Es dürfen nur Ganze Zahlen eigegeben werden!" sqref="C27" xr:uid="{00000000-0002-0000-0000-000001000000}">
      <formula1>0</formula1>
    </dataValidation>
    <dataValidation type="date" allowBlank="1" showInputMessage="1" showErrorMessage="1" errorTitle="Falscheingabe" error="Es darf nur ein Datum eigegeben werden!_x000a_Format: TT.MM.JJJJ" promptTitle="Datum" prompt="Bitte das Datum im Format: TT.MM.JJJJ eingeben." sqref="C31" xr:uid="{00000000-0002-0000-0000-000002000000}">
      <formula1>44927</formula1>
      <formula2>47848</formula2>
    </dataValidation>
    <dataValidation type="decimal" operator="greaterThan" allowBlank="1" showInputMessage="1" showErrorMessage="1" errorTitle="Falscheingabe" error="Es dürfen nur Dezimalzahlen ohne Einheit eingegeben werden!" promptTitle="ha bei PN-Preis/ha" prompt="Tragen Sie die gesamt beprobte Fläche ohne Angabe einer Einheit ein." sqref="C34" xr:uid="{00000000-0002-0000-0000-000003000000}">
      <formula1>0</formula1>
    </dataValidation>
    <dataValidation type="decimal" operator="greaterThan" allowBlank="1" showInputMessage="1" showErrorMessage="1" errorTitle="Falscheingabe" error="Es dürfen nur Dezimalzahlen ohne Einheiten eigegeben werden!" sqref="C38" xr:uid="{00000000-0002-0000-0000-000004000000}">
      <formula1>0</formula1>
    </dataValidation>
    <dataValidation type="decimal" operator="greaterThanOrEqual" allowBlank="1" showInputMessage="1" showErrorMessage="1" errorTitle="Falscheingabe" error="Es dürfen nur Dezimalzahlen ohne Einheit eingegeben werden!" promptTitle="Probenahmepreis" prompt="Bitte geben Sie den Probenahmepreis in €/Probe ohne MwSt an._x000a_Tragen Sie nur den Betrag ein ohne Angabe einer Einheit._x000a_" sqref="C32" xr:uid="{00000000-0002-0000-0000-000005000000}">
      <formula1>0</formula1>
    </dataValidation>
    <dataValidation allowBlank="1" showInputMessage="1" showErrorMessage="1" promptTitle="Kundennummer Aufraggeber" prompt="Falls Sie für den Auftraggeber eine Kundennummer vergeben haben tragen Sie diese bitte ein. Diese wird dann auf der Rechnung mit ausgegeben." sqref="C8:C9" xr:uid="{00000000-0002-0000-0000-000006000000}"/>
    <dataValidation allowBlank="1" showInputMessage="1" showErrorMessage="1" promptTitle="PLZ" prompt="Deutsche Postleitzahlen bitte ohne &quot;D&quot; oder ähnliche Vorzeichen eingeben." sqref="C13" xr:uid="{00000000-0002-0000-0000-000007000000}"/>
    <dataValidation type="decimal" operator="greaterThan" allowBlank="1" showInputMessage="1" showErrorMessage="1" errorTitle="Falscheingabe" error="Es dürfen nur Dezimalzahlen ohne Einheit eingegeben werden!" promptTitle="Probenahmepreis in €/ha" prompt="Bitte geben Sie hier den Probenahmepreis in €/ha falls Sie diese Abrechnung vereinbart haben.Bitte tragen Sie nur den Betrag ein ohne Angabe einer Einheit." sqref="C33" xr:uid="{00000000-0002-0000-0000-000008000000}">
      <formula1>0</formula1>
    </dataValidation>
    <dataValidation type="decimal" operator="greaterThan" allowBlank="1" showInputMessage="1" showErrorMessage="1" errorTitle="Falscheingabe" error="Es dürfen nur Dezimalzahlen ohne Einheiten eigegeben werden!" promptTitle="Fahrtkosten Pauschal" prompt="Hier tragen Sie ein wenn Sie einen festen Betrag für den gesamten Auftrag vereinbart haben. Ohne Angabe einer Einheit_x000a_" sqref="C35" xr:uid="{00000000-0002-0000-0000-000009000000}">
      <formula1>0</formula1>
    </dataValidation>
    <dataValidation type="decimal" operator="greaterThan" allowBlank="1" showInputMessage="1" showErrorMessage="1" errorTitle="Falscheingabe" error="Es dürfen nur Dezimalzahlen ohne Einheiten eigegeben werden!" promptTitle="Fahrtkosten / km" prompt="Bitte tragen Sie hier die vereinbarten Fahrkosten je km ohne Einheit ein." sqref="C36" xr:uid="{00000000-0002-0000-0000-00000A000000}">
      <formula1>0</formula1>
    </dataValidation>
    <dataValidation type="decimal" operator="greaterThan" allowBlank="1" showInputMessage="1" showErrorMessage="1" errorTitle="Falscheingabe" error="Es dürfen nur Dezimalzahlen ohne Einheiten eigegeben werden!" promptTitle="gefahrene km" prompt="Tragen Sie hier die für diesen Auftrtag zurückgelegten Kilometer on Angabe der Einheit ein." sqref="C37" xr:uid="{00000000-0002-0000-0000-00000B000000}">
      <formula1>0</formula1>
    </dataValidation>
    <dataValidation type="decimal" operator="greaterThan" allowBlank="1" showInputMessage="1" showErrorMessage="1" promptTitle="Kd.Nr Agrolab" prompt="Tagen Sie die Kundennummer des Rechnungsnehmers bei Agrolab ein." sqref="G8" xr:uid="{00000000-0002-0000-0000-00000C000000}">
      <formula1>0</formula1>
    </dataValidation>
    <dataValidation type="decimal" operator="greaterThanOrEqual" allowBlank="1" showInputMessage="1" showErrorMessage="1" promptTitle="Kd.Nr Auftraggeber" prompt="Falls Sie Ihrem Auftraggeber eine Kundennummer zugeordnet haben können Sie diese heier eintragen." sqref="G9" xr:uid="{00000000-0002-0000-0000-00000D000000}">
      <formula1>0</formula1>
    </dataValidation>
    <dataValidation allowBlank="1" showInputMessage="1" showErrorMessage="1" promptTitle="Auftragsname" prompt="HIer könenn Sie Ihren oder den Auftragsnamen des Auftraggebers eintargen. Dieser Wird auf Befund und Rechnung mit ausgegeben. " sqref="G21" xr:uid="{00000000-0002-0000-0000-00000E000000}"/>
    <dataValidation type="whole" operator="greaterThan" allowBlank="1" showInputMessage="1" showErrorMessage="1" promptTitle="Projektnummer Agrolab" prompt="Falls im Untersuchenden Labor eine Projektmummer angelegt wurde muss diese hier eingetragen werden. " sqref="G22" xr:uid="{00000000-0002-0000-0000-00000F000000}">
      <formula1>0</formula1>
    </dataValidation>
    <dataValidation allowBlank="1" showInputMessage="1" showErrorMessage="1" promptTitle="Tracking ID Paketdienst" prompt="Zur eigenen Information." sqref="G3" xr:uid="{00000000-0002-0000-0000-000010000000}"/>
    <dataValidation type="decimal" operator="notEqual" allowBlank="1" showInputMessage="1" showErrorMessage="1" errorTitle="Falscheingabe" error="Bitte nur Dezimalzellen ohne Einheit eingeben!" sqref="H30:H34" xr:uid="{00000000-0002-0000-0000-000011000000}">
      <formula1>0</formula1>
    </dataValidation>
    <dataValidation operator="notEqual" allowBlank="1" showInputMessage="1" showErrorMessage="1" errorTitle="Falscheingabe" error="Aus LIste wählen_x000a_" promptTitle="Fruchtart auswählen" prompt="Fruchtart auswählen." sqref="G29:G35" xr:uid="{00000000-0002-0000-0000-000012000000}"/>
  </dataValidations>
  <hyperlinks>
    <hyperlink ref="F37" r:id="rId1" xr:uid="{00000000-0004-0000-0000-000000000000}"/>
  </hyperlinks>
  <pageMargins left="0.23622047244094491" right="0.23622047244094491" top="0.74803149606299213" bottom="0.74803149606299213" header="0.31496062992125984" footer="0.31496062992125984"/>
  <pageSetup paperSize="9" scale="62" orientation="landscape" useFirstPageNumber="1" r:id="rId2"/>
  <headerFooter>
    <oddHeader>&amp;L&amp;F - &amp;D</oddHeader>
  </headerFooter>
  <drawing r:id="rId3"/>
  <legacyDrawing r:id="rId4"/>
  <controls>
    <mc:AlternateContent xmlns:mc="http://schemas.openxmlformats.org/markup-compatibility/2006">
      <mc:Choice Requires="x14">
        <control shapeId="8218" r:id="rId5" name="Frucht1">
          <controlPr defaultSize="0" autoLine="0" autoPict="0" linkedCell="G29" listFillRange="Fruchtarten" r:id="rId6">
            <anchor moveWithCells="1" sizeWithCells="1">
              <from>
                <xdr:col>6</xdr:col>
                <xdr:colOff>0</xdr:colOff>
                <xdr:row>28</xdr:row>
                <xdr:rowOff>0</xdr:rowOff>
              </from>
              <to>
                <xdr:col>6</xdr:col>
                <xdr:colOff>2085975</xdr:colOff>
                <xdr:row>29</xdr:row>
                <xdr:rowOff>0</xdr:rowOff>
              </to>
            </anchor>
          </controlPr>
        </control>
      </mc:Choice>
      <mc:Fallback>
        <control shapeId="8218" r:id="rId5" name="Frucht1"/>
      </mc:Fallback>
    </mc:AlternateContent>
    <mc:AlternateContent xmlns:mc="http://schemas.openxmlformats.org/markup-compatibility/2006">
      <mc:Choice Requires="x14">
        <control shapeId="8219" r:id="rId7" name="Frucht2">
          <controlPr defaultSize="0" autoLine="0" autoPict="0" linkedCell="G30" listFillRange="Fruchtarten" r:id="rId6">
            <anchor moveWithCells="1" sizeWithCells="1">
              <from>
                <xdr:col>6</xdr:col>
                <xdr:colOff>9525</xdr:colOff>
                <xdr:row>29</xdr:row>
                <xdr:rowOff>9525</xdr:rowOff>
              </from>
              <to>
                <xdr:col>6</xdr:col>
                <xdr:colOff>2095500</xdr:colOff>
                <xdr:row>30</xdr:row>
                <xdr:rowOff>9525</xdr:rowOff>
              </to>
            </anchor>
          </controlPr>
        </control>
      </mc:Choice>
      <mc:Fallback>
        <control shapeId="8219" r:id="rId7" name="Frucht2"/>
      </mc:Fallback>
    </mc:AlternateContent>
    <mc:AlternateContent xmlns:mc="http://schemas.openxmlformats.org/markup-compatibility/2006">
      <mc:Choice Requires="x14">
        <control shapeId="8220" r:id="rId8" name="Frucht3">
          <controlPr defaultSize="0" autoLine="0" autoPict="0" linkedCell="G31" listFillRange="Fruchtarten" r:id="rId6">
            <anchor moveWithCells="1" sizeWithCells="1">
              <from>
                <xdr:col>6</xdr:col>
                <xdr:colOff>0</xdr:colOff>
                <xdr:row>30</xdr:row>
                <xdr:rowOff>9525</xdr:rowOff>
              </from>
              <to>
                <xdr:col>6</xdr:col>
                <xdr:colOff>2085975</xdr:colOff>
                <xdr:row>31</xdr:row>
                <xdr:rowOff>9525</xdr:rowOff>
              </to>
            </anchor>
          </controlPr>
        </control>
      </mc:Choice>
      <mc:Fallback>
        <control shapeId="8220" r:id="rId8" name="Frucht3"/>
      </mc:Fallback>
    </mc:AlternateContent>
    <mc:AlternateContent xmlns:mc="http://schemas.openxmlformats.org/markup-compatibility/2006">
      <mc:Choice Requires="x14">
        <control shapeId="8221" r:id="rId9" name="Frucht5">
          <controlPr defaultSize="0" autoLine="0" autoPict="0" linkedCell="G33" listFillRange="Fruchtarten" r:id="rId6">
            <anchor moveWithCells="1" sizeWithCells="1">
              <from>
                <xdr:col>6</xdr:col>
                <xdr:colOff>0</xdr:colOff>
                <xdr:row>32</xdr:row>
                <xdr:rowOff>9525</xdr:rowOff>
              </from>
              <to>
                <xdr:col>6</xdr:col>
                <xdr:colOff>2085975</xdr:colOff>
                <xdr:row>33</xdr:row>
                <xdr:rowOff>9525</xdr:rowOff>
              </to>
            </anchor>
          </controlPr>
        </control>
      </mc:Choice>
      <mc:Fallback>
        <control shapeId="8221" r:id="rId9" name="Frucht5"/>
      </mc:Fallback>
    </mc:AlternateContent>
    <mc:AlternateContent xmlns:mc="http://schemas.openxmlformats.org/markup-compatibility/2006">
      <mc:Choice Requires="x14">
        <control shapeId="8222" r:id="rId10" name="Frucht4">
          <controlPr defaultSize="0" autoLine="0" autoPict="0" linkedCell="G32" listFillRange="Fruchtarten" r:id="rId6">
            <anchor moveWithCells="1" sizeWithCells="1">
              <from>
                <xdr:col>6</xdr:col>
                <xdr:colOff>0</xdr:colOff>
                <xdr:row>31</xdr:row>
                <xdr:rowOff>0</xdr:rowOff>
              </from>
              <to>
                <xdr:col>6</xdr:col>
                <xdr:colOff>2085975</xdr:colOff>
                <xdr:row>32</xdr:row>
                <xdr:rowOff>0</xdr:rowOff>
              </to>
            </anchor>
          </controlPr>
        </control>
      </mc:Choice>
      <mc:Fallback>
        <control shapeId="8222" r:id="rId10" name="Frucht4"/>
      </mc:Fallback>
    </mc:AlternateContent>
    <mc:AlternateContent xmlns:mc="http://schemas.openxmlformats.org/markup-compatibility/2006">
      <mc:Choice Requires="x14">
        <control shapeId="8223" r:id="rId11" name="Frucht6">
          <controlPr defaultSize="0" autoLine="0" autoPict="0" linkedCell="G34" listFillRange="Fruchtarten" r:id="rId6">
            <anchor moveWithCells="1" sizeWithCells="1">
              <from>
                <xdr:col>6</xdr:col>
                <xdr:colOff>9525</xdr:colOff>
                <xdr:row>33</xdr:row>
                <xdr:rowOff>9525</xdr:rowOff>
              </from>
              <to>
                <xdr:col>6</xdr:col>
                <xdr:colOff>2095500</xdr:colOff>
                <xdr:row>34</xdr:row>
                <xdr:rowOff>9525</xdr:rowOff>
              </to>
            </anchor>
          </controlPr>
        </control>
      </mc:Choice>
      <mc:Fallback>
        <control shapeId="8223" r:id="rId11" name="Frucht6"/>
      </mc:Fallback>
    </mc:AlternateContent>
    <mc:AlternateContent xmlns:mc="http://schemas.openxmlformats.org/markup-compatibility/2006">
      <mc:Choice Requires="x14">
        <control shapeId="8224" r:id="rId12" name="Frucht7">
          <controlPr defaultSize="0" autoLine="0" autoPict="0" linkedCell="G35" listFillRange="Fruchtarten" r:id="rId6">
            <anchor moveWithCells="1" sizeWithCells="1">
              <from>
                <xdr:col>6</xdr:col>
                <xdr:colOff>9525</xdr:colOff>
                <xdr:row>34</xdr:row>
                <xdr:rowOff>0</xdr:rowOff>
              </from>
              <to>
                <xdr:col>6</xdr:col>
                <xdr:colOff>2095500</xdr:colOff>
                <xdr:row>34</xdr:row>
                <xdr:rowOff>257175</xdr:rowOff>
              </to>
            </anchor>
          </controlPr>
        </control>
      </mc:Choice>
      <mc:Fallback>
        <control shapeId="8224" r:id="rId12" name="Frucht7"/>
      </mc:Fallback>
    </mc:AlternateContent>
  </controls>
  <extLst>
    <ext xmlns:x14="http://schemas.microsoft.com/office/spreadsheetml/2009/9/main" uri="{CCE6A557-97BC-4b89-ADB6-D9C93CAAB3DF}">
      <x14:dataValidations xmlns:xm="http://schemas.microsoft.com/office/excel/2006/main" xWindow="1571" yWindow="254" count="5">
        <x14:dataValidation type="list" allowBlank="1" showInputMessage="1" showErrorMessage="1" errorTitle="Falscheingabe" error="Mögliche Eingaben:_x000a_Ja / Nein" promptTitle="schwerer Boden?" prompt="Nur für Belgien!_x000a_Ja / Nein" xr:uid="{00000000-0002-0000-0000-000013000000}">
          <x14:formula1>
            <xm:f>Hilfstabellen!$B$40:$B$41</xm:f>
          </x14:formula1>
          <xm:sqref>G26</xm:sqref>
        </x14:dataValidation>
        <x14:dataValidation type="list" showInputMessage="1" showErrorMessage="1" errorTitle="Falscheingabe" error="mögliche Eingaben sin:_x000a__x000a_Sarstedt_x000a_Leinefelde" promptTitle="Laborauswahl" prompt="Bitte wählen Sie den Laborstandort aus." xr:uid="{00000000-0002-0000-0000-000014000000}">
          <x14:formula1>
            <xm:f>Hilfstabellen!$A$19:$A$20</xm:f>
          </x14:formula1>
          <xm:sqref>C5</xm:sqref>
        </x14:dataValidation>
        <x14:dataValidation type="list" allowBlank="1" showInputMessage="1" showErrorMessage="1" errorTitle="Falscheingabe" error="Mögliche Eingaben sind:_x000a__x000a_CAL_x000a_oder_x000a_DL" promptTitle="Extraktionsmethode auswählen" prompt="In den Ländern Sachsen-Anhalt und Brandenburg ist eine Extraktion mit CAL oder DL wählbar. Tragen Sie hier die entsprechende Methode ein." xr:uid="{00000000-0002-0000-0000-000015000000}">
          <x14:formula1>
            <xm:f>Hilfstabellen!$A$26:$A$27</xm:f>
          </x14:formula1>
          <xm:sqref>G24</xm:sqref>
        </x14:dataValidation>
        <x14:dataValidation type="list" allowBlank="1" showInputMessage="1" showErrorMessage="1" promptTitle="Trockengebiet?" prompt="Tragen Sie hier ein ob die beprobten Flächen im Trockengebiet liegen oder nicht. Wichtig für die Düngeempfehlung." xr:uid="{00000000-0002-0000-0000-000016000000}">
          <x14:formula1>
            <xm:f>Hilfstabellen!$B$34:$B$35</xm:f>
          </x14:formula1>
          <xm:sqref>G25</xm:sqref>
        </x14:dataValidation>
        <x14:dataValidation type="list" allowBlank="1" showInputMessage="1" showErrorMessage="1" promptTitle="AGB akzeptieren" prompt="https://www.agrolab.com/de/agb.html" xr:uid="{00000000-0002-0000-0000-000017000000}">
          <x14:formula1>
            <xm:f>Hilfstabellen!$F$13</xm:f>
          </x14:formula1>
          <xm:sqref>H37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1">
    <tabColor rgb="FFFFFF00"/>
    <pageSetUpPr fitToPage="1"/>
  </sheetPr>
  <dimension ref="A1:AA513"/>
  <sheetViews>
    <sheetView zoomScale="70" zoomScaleNormal="70" workbookViewId="0">
      <pane ySplit="7" topLeftCell="A8" activePane="bottomLeft" state="frozen"/>
      <selection activeCell="C1" sqref="C1"/>
      <selection pane="bottomLeft"/>
    </sheetView>
  </sheetViews>
  <sheetFormatPr baseColWidth="10" defaultColWidth="11.42578125" defaultRowHeight="20.25"/>
  <cols>
    <col min="1" max="3" width="25.7109375" style="3" customWidth="1"/>
    <col min="4" max="4" width="23.42578125" style="3" customWidth="1"/>
    <col min="5" max="5" width="50.7109375" style="3" customWidth="1"/>
    <col min="6" max="6" width="16.85546875" style="3" customWidth="1"/>
    <col min="7" max="7" width="14.140625" style="144" customWidth="1"/>
    <col min="8" max="8" width="20.7109375" style="144" customWidth="1"/>
    <col min="9" max="9" width="18.5703125" style="144" customWidth="1"/>
    <col min="10" max="10" width="11.42578125" style="144"/>
    <col min="11" max="11" width="11.42578125" style="144" hidden="1" customWidth="1"/>
    <col min="12" max="12" width="11.85546875" style="144" customWidth="1"/>
    <col min="13" max="13" width="10.7109375" style="144" customWidth="1"/>
    <col min="14" max="14" width="10.7109375" style="144" hidden="1" customWidth="1"/>
    <col min="15" max="16" width="6.28515625" style="144" customWidth="1"/>
    <col min="17" max="26" width="5.7109375" style="3" customWidth="1"/>
    <col min="27" max="27" width="23.140625" style="114" customWidth="1"/>
    <col min="28" max="16384" width="11.42578125" style="3"/>
  </cols>
  <sheetData>
    <row r="1" spans="1:27" s="4" customFormat="1">
      <c r="C1" s="52" t="str">
        <f>"$E$3:$W$"&amp;COUNTA(D:D)+4</f>
        <v>$E$3:$W$8</v>
      </c>
      <c r="D1" s="3"/>
      <c r="E1" s="141" t="s">
        <v>2</v>
      </c>
      <c r="G1" s="143"/>
      <c r="H1" s="143"/>
      <c r="I1" s="143"/>
      <c r="J1" s="143"/>
      <c r="K1" s="143"/>
      <c r="L1" s="143"/>
      <c r="M1" s="143"/>
      <c r="N1" s="143"/>
      <c r="O1" s="143"/>
      <c r="P1" s="143"/>
      <c r="AA1" s="113"/>
    </row>
    <row r="2" spans="1:27" s="4" customFormat="1">
      <c r="D2" s="3"/>
      <c r="E2" s="141"/>
      <c r="G2" s="143"/>
      <c r="H2" s="143"/>
      <c r="I2" s="143"/>
      <c r="J2" s="143"/>
      <c r="K2" s="143"/>
      <c r="L2" s="143"/>
      <c r="M2" s="143"/>
      <c r="N2" s="143"/>
      <c r="O2" s="143"/>
      <c r="P2" s="143"/>
      <c r="AA2" s="113"/>
    </row>
    <row r="3" spans="1:27" s="4" customFormat="1" ht="24" customHeight="1">
      <c r="D3" s="3"/>
      <c r="E3" s="53" t="str">
        <f>Auftragsdaten!C8&amp;", "&amp;Auftragsdaten!C10&amp;", "&amp;Auftragsdaten!C13&amp;", "&amp;Auftragsdaten!C14&amp;", "&amp;Auftragsdaten!B29&amp;": "&amp;Auftragsdaten!C29&amp;", "&amp;Auftragsdaten!F22&amp;": "&amp;Auftragsdaten!G22</f>
        <v xml:space="preserve">, , , , PN Auftragsnr.: , Projektnr. Agrolab: </v>
      </c>
      <c r="G3" s="143"/>
      <c r="H3" s="143"/>
      <c r="I3" s="143"/>
      <c r="J3" s="143"/>
      <c r="K3" s="143"/>
      <c r="L3" s="143"/>
      <c r="M3" s="143"/>
      <c r="N3" s="143"/>
      <c r="O3" s="143"/>
      <c r="P3" s="143"/>
      <c r="AA3" s="113"/>
    </row>
    <row r="4" spans="1:27" s="4" customFormat="1" ht="15.75" thickBot="1">
      <c r="D4" s="262"/>
      <c r="E4" s="263" t="s">
        <v>55</v>
      </c>
      <c r="F4" s="264"/>
      <c r="G4" s="264"/>
      <c r="H4" s="264"/>
      <c r="I4" s="264"/>
      <c r="J4" s="264"/>
      <c r="K4" s="264"/>
      <c r="L4" s="264"/>
      <c r="M4" s="264"/>
      <c r="N4" s="264"/>
      <c r="O4" s="265" t="s">
        <v>56</v>
      </c>
      <c r="P4" s="266"/>
      <c r="Q4" s="314" t="s">
        <v>57</v>
      </c>
      <c r="R4" s="314"/>
      <c r="S4" s="314"/>
      <c r="T4" s="314"/>
      <c r="U4" s="314"/>
      <c r="V4" s="314"/>
      <c r="W4" s="314"/>
      <c r="X4" s="314"/>
      <c r="Y4" s="314"/>
      <c r="Z4" s="314"/>
      <c r="AA4" s="113"/>
    </row>
    <row r="5" spans="1:27" s="293" customFormat="1" ht="102.75" customHeight="1" thickBot="1">
      <c r="A5" s="285" t="s">
        <v>58</v>
      </c>
      <c r="B5" s="286" t="s">
        <v>59</v>
      </c>
      <c r="C5" s="287" t="s">
        <v>60</v>
      </c>
      <c r="D5" s="288" t="s">
        <v>1012</v>
      </c>
      <c r="E5" s="289" t="s">
        <v>62</v>
      </c>
      <c r="F5" s="289" t="s">
        <v>1010</v>
      </c>
      <c r="G5" s="290" t="s">
        <v>1011</v>
      </c>
      <c r="H5" s="290" t="s">
        <v>1008</v>
      </c>
      <c r="I5" s="290" t="s">
        <v>1009</v>
      </c>
      <c r="J5" s="290" t="s">
        <v>67</v>
      </c>
      <c r="K5" s="291" t="s">
        <v>68</v>
      </c>
      <c r="L5" s="289" t="s">
        <v>69</v>
      </c>
      <c r="M5" s="290" t="s">
        <v>70</v>
      </c>
      <c r="N5" s="292" t="s">
        <v>71</v>
      </c>
      <c r="O5" s="276" t="s">
        <v>72</v>
      </c>
      <c r="P5" s="276" t="s">
        <v>73</v>
      </c>
      <c r="Q5" s="277" t="s">
        <v>74</v>
      </c>
      <c r="R5" s="278" t="s">
        <v>75</v>
      </c>
      <c r="S5" s="278" t="s">
        <v>76</v>
      </c>
      <c r="T5" s="278" t="s">
        <v>77</v>
      </c>
      <c r="U5" s="278" t="s">
        <v>78</v>
      </c>
      <c r="V5" s="278" t="s">
        <v>79</v>
      </c>
      <c r="W5" s="278" t="s">
        <v>80</v>
      </c>
      <c r="X5" s="278" t="s">
        <v>81</v>
      </c>
      <c r="Y5" s="278" t="s">
        <v>82</v>
      </c>
      <c r="Z5" s="279" t="s">
        <v>83</v>
      </c>
      <c r="AA5" s="280" t="s">
        <v>84</v>
      </c>
    </row>
    <row r="6" spans="1:27" s="4" customFormat="1" ht="15.75" customHeight="1" thickBot="1">
      <c r="A6" s="17" t="s">
        <v>85</v>
      </c>
      <c r="B6" s="17" t="s">
        <v>86</v>
      </c>
      <c r="C6" s="267" t="s">
        <v>87</v>
      </c>
      <c r="D6" s="282" t="s">
        <v>61</v>
      </c>
      <c r="E6" s="268" t="s">
        <v>62</v>
      </c>
      <c r="F6" s="269" t="s">
        <v>63</v>
      </c>
      <c r="G6" s="270" t="s">
        <v>64</v>
      </c>
      <c r="H6" s="270" t="s">
        <v>65</v>
      </c>
      <c r="I6" s="270" t="s">
        <v>88</v>
      </c>
      <c r="J6" s="271" t="s">
        <v>67</v>
      </c>
      <c r="K6" s="271" t="s">
        <v>89</v>
      </c>
      <c r="L6" s="272" t="s">
        <v>90</v>
      </c>
      <c r="M6" s="271" t="s">
        <v>70</v>
      </c>
      <c r="N6" s="271" t="s">
        <v>91</v>
      </c>
      <c r="O6" s="273" t="s">
        <v>92</v>
      </c>
      <c r="P6" s="273" t="s">
        <v>93</v>
      </c>
      <c r="Q6" s="274" t="s">
        <v>74</v>
      </c>
      <c r="R6" s="17" t="s">
        <v>75</v>
      </c>
      <c r="S6" s="17" t="s">
        <v>94</v>
      </c>
      <c r="T6" s="17" t="s">
        <v>77</v>
      </c>
      <c r="U6" s="17" t="s">
        <v>78</v>
      </c>
      <c r="V6" s="17" t="s">
        <v>79</v>
      </c>
      <c r="W6" s="17" t="s">
        <v>80</v>
      </c>
      <c r="X6" s="17" t="s">
        <v>81</v>
      </c>
      <c r="Y6" s="17" t="s">
        <v>82</v>
      </c>
      <c r="Z6" s="275" t="s">
        <v>95</v>
      </c>
      <c r="AA6" s="261" t="s">
        <v>1002</v>
      </c>
    </row>
    <row r="7" spans="1:27" s="1" customFormat="1" ht="80.099999999999994" hidden="1" customHeight="1" thickTop="1">
      <c r="A7" s="180"/>
      <c r="B7" s="180"/>
      <c r="C7" s="180"/>
      <c r="D7" s="283">
        <f t="shared" ref="D7:D8" si="0">IF(ISBLANK(E7),"",ROW(7:7)-7)</f>
        <v>0</v>
      </c>
      <c r="E7" s="253" t="s">
        <v>983</v>
      </c>
      <c r="F7" s="294">
        <v>500</v>
      </c>
      <c r="G7" s="251"/>
      <c r="H7" s="300"/>
      <c r="I7" s="252"/>
      <c r="J7" s="250"/>
      <c r="K7" s="142"/>
      <c r="L7" s="296" t="str">
        <f>IF(ISBLANK(E7),"A","A")</f>
        <v>A</v>
      </c>
      <c r="M7" s="167"/>
      <c r="N7" s="142"/>
      <c r="O7" s="168"/>
      <c r="P7" s="169"/>
      <c r="Q7" s="283" t="str">
        <f t="shared" ref="Q7" si="1">IF(ISBLANK(E7),"x","x")</f>
        <v>x</v>
      </c>
      <c r="R7" s="297"/>
      <c r="S7" s="297"/>
      <c r="T7" s="297"/>
      <c r="U7" s="297"/>
      <c r="V7" s="297"/>
      <c r="W7" s="297"/>
      <c r="X7" s="297"/>
      <c r="Y7" s="297"/>
      <c r="Z7" s="297"/>
      <c r="AA7" s="299"/>
    </row>
    <row r="8" spans="1:27" ht="24" thickTop="1">
      <c r="A8" s="259"/>
      <c r="B8" s="259"/>
      <c r="C8" s="259"/>
      <c r="D8" s="284" t="str">
        <f t="shared" si="0"/>
        <v/>
      </c>
      <c r="E8" s="255"/>
      <c r="F8" s="295"/>
      <c r="G8" s="256"/>
      <c r="H8" s="301"/>
      <c r="I8" s="257"/>
      <c r="J8" s="257"/>
      <c r="K8" s="260"/>
      <c r="L8" s="310" t="str">
        <f>IF(ISBLANK(E8),"A","A")</f>
        <v>A</v>
      </c>
      <c r="M8" s="311"/>
      <c r="N8" s="309"/>
      <c r="O8" s="312"/>
      <c r="P8" s="312"/>
      <c r="Q8" s="313" t="str">
        <f>IF(ISBLANK(E8),"x","x")</f>
        <v>x</v>
      </c>
      <c r="R8" s="298"/>
      <c r="S8" s="298"/>
      <c r="T8" s="298"/>
      <c r="U8" s="298"/>
      <c r="V8" s="298"/>
      <c r="W8" s="298"/>
      <c r="X8" s="298"/>
      <c r="Y8" s="298"/>
      <c r="Z8" s="298"/>
      <c r="AA8" s="299"/>
    </row>
    <row r="9" spans="1:27" ht="35.25">
      <c r="L9" s="196"/>
    </row>
    <row r="10" spans="1:27" ht="35.25">
      <c r="L10" s="196"/>
    </row>
    <row r="11" spans="1:27" ht="35.25">
      <c r="L11" s="196"/>
    </row>
    <row r="12" spans="1:27" ht="35.25">
      <c r="L12" s="196"/>
    </row>
    <row r="13" spans="1:27" ht="35.25">
      <c r="L13" s="196"/>
    </row>
    <row r="14" spans="1:27" ht="35.25">
      <c r="L14" s="196"/>
    </row>
    <row r="15" spans="1:27" ht="35.25">
      <c r="L15" s="196"/>
    </row>
    <row r="16" spans="1:27" ht="35.25">
      <c r="L16" s="196"/>
    </row>
    <row r="17" spans="12:12" ht="35.25">
      <c r="L17" s="196"/>
    </row>
    <row r="18" spans="12:12" ht="35.25">
      <c r="L18" s="196"/>
    </row>
    <row r="19" spans="12:12" ht="35.25">
      <c r="L19" s="196"/>
    </row>
    <row r="20" spans="12:12" ht="35.25">
      <c r="L20" s="196"/>
    </row>
    <row r="21" spans="12:12" ht="35.25">
      <c r="L21" s="196"/>
    </row>
    <row r="22" spans="12:12" ht="35.25">
      <c r="L22" s="196"/>
    </row>
    <row r="23" spans="12:12" ht="35.25">
      <c r="L23" s="196"/>
    </row>
    <row r="24" spans="12:12" ht="35.25">
      <c r="L24" s="196"/>
    </row>
    <row r="25" spans="12:12" ht="35.25">
      <c r="L25" s="196"/>
    </row>
    <row r="26" spans="12:12" ht="35.25">
      <c r="L26" s="196"/>
    </row>
    <row r="27" spans="12:12" ht="35.25">
      <c r="L27" s="196"/>
    </row>
    <row r="28" spans="12:12" ht="35.25">
      <c r="L28" s="196"/>
    </row>
    <row r="29" spans="12:12" ht="35.25">
      <c r="L29" s="196"/>
    </row>
    <row r="30" spans="12:12" ht="35.25">
      <c r="L30" s="196"/>
    </row>
    <row r="31" spans="12:12" ht="35.25">
      <c r="L31" s="196"/>
    </row>
    <row r="32" spans="12:12" ht="35.25">
      <c r="L32" s="196"/>
    </row>
    <row r="33" spans="12:12" ht="35.25">
      <c r="L33" s="196"/>
    </row>
    <row r="34" spans="12:12" ht="35.25">
      <c r="L34" s="196"/>
    </row>
    <row r="35" spans="12:12" ht="35.25">
      <c r="L35" s="196"/>
    </row>
    <row r="36" spans="12:12" ht="35.25">
      <c r="L36" s="196"/>
    </row>
    <row r="37" spans="12:12" ht="35.25">
      <c r="L37" s="196"/>
    </row>
    <row r="38" spans="12:12" ht="35.25">
      <c r="L38" s="196"/>
    </row>
    <row r="39" spans="12:12" ht="35.25">
      <c r="L39" s="196"/>
    </row>
    <row r="40" spans="12:12" ht="35.25">
      <c r="L40" s="196"/>
    </row>
    <row r="41" spans="12:12" ht="35.25">
      <c r="L41" s="196"/>
    </row>
    <row r="42" spans="12:12" ht="35.25">
      <c r="L42" s="196"/>
    </row>
    <row r="43" spans="12:12" ht="35.25">
      <c r="L43" s="196"/>
    </row>
    <row r="44" spans="12:12" ht="35.25">
      <c r="L44" s="196"/>
    </row>
    <row r="45" spans="12:12" ht="35.25">
      <c r="L45" s="196"/>
    </row>
    <row r="46" spans="12:12" ht="35.25">
      <c r="L46" s="196"/>
    </row>
    <row r="47" spans="12:12" ht="35.25">
      <c r="L47" s="196"/>
    </row>
    <row r="48" spans="12:12" ht="35.25">
      <c r="L48" s="196"/>
    </row>
    <row r="49" spans="12:12" ht="35.25">
      <c r="L49" s="196"/>
    </row>
    <row r="50" spans="12:12" ht="35.25">
      <c r="L50" s="196"/>
    </row>
    <row r="51" spans="12:12" ht="35.25">
      <c r="L51" s="196"/>
    </row>
    <row r="52" spans="12:12" ht="35.25">
      <c r="L52" s="196"/>
    </row>
    <row r="53" spans="12:12" ht="35.25">
      <c r="L53" s="196"/>
    </row>
    <row r="54" spans="12:12" ht="35.25">
      <c r="L54" s="196"/>
    </row>
    <row r="55" spans="12:12" ht="35.25">
      <c r="L55" s="196"/>
    </row>
    <row r="56" spans="12:12" ht="35.25">
      <c r="L56" s="196"/>
    </row>
    <row r="57" spans="12:12" ht="35.25">
      <c r="L57" s="196"/>
    </row>
    <row r="58" spans="12:12" ht="35.25">
      <c r="L58" s="196"/>
    </row>
    <row r="59" spans="12:12" ht="35.25">
      <c r="L59" s="196"/>
    </row>
    <row r="60" spans="12:12" ht="35.25">
      <c r="L60" s="196"/>
    </row>
    <row r="61" spans="12:12" ht="35.25">
      <c r="L61" s="196"/>
    </row>
    <row r="62" spans="12:12" ht="35.25">
      <c r="L62" s="196"/>
    </row>
    <row r="63" spans="12:12" ht="35.25">
      <c r="L63" s="196"/>
    </row>
    <row r="64" spans="12:12" ht="35.25">
      <c r="L64" s="196"/>
    </row>
    <row r="65" spans="12:12" ht="35.25">
      <c r="L65" s="196"/>
    </row>
    <row r="66" spans="12:12" ht="35.25">
      <c r="L66" s="196"/>
    </row>
    <row r="67" spans="12:12" ht="35.25">
      <c r="L67" s="196"/>
    </row>
    <row r="68" spans="12:12" ht="35.25">
      <c r="L68" s="196"/>
    </row>
    <row r="69" spans="12:12" ht="35.25">
      <c r="L69" s="196"/>
    </row>
    <row r="70" spans="12:12" ht="35.25">
      <c r="L70" s="196"/>
    </row>
    <row r="71" spans="12:12" ht="35.25">
      <c r="L71" s="196"/>
    </row>
    <row r="72" spans="12:12" ht="35.25">
      <c r="L72" s="196"/>
    </row>
    <row r="73" spans="12:12" ht="35.25">
      <c r="L73" s="196"/>
    </row>
    <row r="74" spans="12:12" ht="35.25">
      <c r="L74" s="196"/>
    </row>
    <row r="75" spans="12:12" ht="35.25">
      <c r="L75" s="196"/>
    </row>
    <row r="76" spans="12:12" ht="35.25">
      <c r="L76" s="196"/>
    </row>
    <row r="77" spans="12:12" ht="35.25">
      <c r="L77" s="196"/>
    </row>
    <row r="78" spans="12:12" ht="35.25">
      <c r="L78" s="196"/>
    </row>
    <row r="79" spans="12:12" ht="35.25">
      <c r="L79" s="196"/>
    </row>
    <row r="80" spans="12:12" ht="35.25">
      <c r="L80" s="196"/>
    </row>
    <row r="81" spans="12:12" ht="35.25">
      <c r="L81" s="196"/>
    </row>
    <row r="82" spans="12:12" ht="35.25">
      <c r="L82" s="196"/>
    </row>
    <row r="83" spans="12:12" ht="35.25">
      <c r="L83" s="196"/>
    </row>
    <row r="84" spans="12:12" ht="35.25">
      <c r="L84" s="196"/>
    </row>
    <row r="85" spans="12:12" ht="35.25">
      <c r="L85" s="196"/>
    </row>
    <row r="86" spans="12:12" ht="35.25">
      <c r="L86" s="196"/>
    </row>
    <row r="87" spans="12:12" ht="35.25">
      <c r="L87" s="196"/>
    </row>
    <row r="88" spans="12:12" ht="35.25">
      <c r="L88" s="196"/>
    </row>
    <row r="89" spans="12:12" ht="35.25">
      <c r="L89" s="196"/>
    </row>
    <row r="90" spans="12:12" ht="35.25">
      <c r="L90" s="196"/>
    </row>
    <row r="91" spans="12:12" ht="35.25">
      <c r="L91" s="196"/>
    </row>
    <row r="92" spans="12:12" ht="35.25">
      <c r="L92" s="196"/>
    </row>
    <row r="93" spans="12:12" ht="35.25">
      <c r="L93" s="196"/>
    </row>
    <row r="94" spans="12:12" ht="35.25">
      <c r="L94" s="196"/>
    </row>
    <row r="95" spans="12:12" ht="35.25">
      <c r="L95" s="196"/>
    </row>
    <row r="96" spans="12:12" ht="35.25">
      <c r="L96" s="196"/>
    </row>
    <row r="97" spans="12:12" ht="35.25">
      <c r="L97" s="196"/>
    </row>
    <row r="98" spans="12:12" ht="35.25">
      <c r="L98" s="196"/>
    </row>
    <row r="99" spans="12:12" ht="35.25">
      <c r="L99" s="196"/>
    </row>
    <row r="100" spans="12:12" ht="35.25">
      <c r="L100" s="196"/>
    </row>
    <row r="101" spans="12:12" ht="35.25">
      <c r="L101" s="196"/>
    </row>
    <row r="102" spans="12:12" ht="35.25">
      <c r="L102" s="196"/>
    </row>
    <row r="103" spans="12:12" ht="35.25">
      <c r="L103" s="196"/>
    </row>
    <row r="104" spans="12:12" ht="35.25">
      <c r="L104" s="196"/>
    </row>
    <row r="105" spans="12:12" ht="35.25">
      <c r="L105" s="196"/>
    </row>
    <row r="106" spans="12:12" ht="35.25">
      <c r="L106" s="196"/>
    </row>
    <row r="107" spans="12:12" ht="35.25">
      <c r="L107" s="196"/>
    </row>
    <row r="108" spans="12:12" ht="35.25">
      <c r="L108" s="196"/>
    </row>
    <row r="109" spans="12:12" ht="35.25">
      <c r="L109" s="196"/>
    </row>
    <row r="110" spans="12:12" ht="35.25">
      <c r="L110" s="196"/>
    </row>
    <row r="111" spans="12:12" ht="35.25">
      <c r="L111" s="196"/>
    </row>
    <row r="112" spans="12:12" ht="35.25">
      <c r="L112" s="196"/>
    </row>
    <row r="113" spans="12:12" ht="35.25">
      <c r="L113" s="196"/>
    </row>
    <row r="114" spans="12:12" ht="35.25">
      <c r="L114" s="196"/>
    </row>
    <row r="115" spans="12:12" ht="35.25">
      <c r="L115" s="196"/>
    </row>
    <row r="116" spans="12:12" ht="35.25">
      <c r="L116" s="196"/>
    </row>
    <row r="117" spans="12:12" ht="35.25">
      <c r="L117" s="196"/>
    </row>
    <row r="118" spans="12:12" ht="35.25">
      <c r="L118" s="196"/>
    </row>
    <row r="119" spans="12:12" ht="35.25">
      <c r="L119" s="196"/>
    </row>
    <row r="120" spans="12:12" ht="35.25">
      <c r="L120" s="196"/>
    </row>
    <row r="121" spans="12:12" ht="35.25">
      <c r="L121" s="196"/>
    </row>
    <row r="122" spans="12:12" ht="35.25">
      <c r="L122" s="196"/>
    </row>
    <row r="123" spans="12:12" ht="35.25">
      <c r="L123" s="196"/>
    </row>
    <row r="124" spans="12:12" ht="35.25">
      <c r="L124" s="196"/>
    </row>
    <row r="125" spans="12:12" ht="35.25">
      <c r="L125" s="196"/>
    </row>
    <row r="126" spans="12:12" ht="35.25">
      <c r="L126" s="196"/>
    </row>
    <row r="127" spans="12:12" ht="35.25">
      <c r="L127" s="196"/>
    </row>
    <row r="128" spans="12:12" ht="35.25">
      <c r="L128" s="196"/>
    </row>
    <row r="129" spans="12:12" ht="35.25">
      <c r="L129" s="196"/>
    </row>
    <row r="130" spans="12:12" ht="35.25">
      <c r="L130" s="196"/>
    </row>
    <row r="131" spans="12:12" ht="35.25">
      <c r="L131" s="196"/>
    </row>
    <row r="132" spans="12:12" ht="35.25">
      <c r="L132" s="196"/>
    </row>
    <row r="133" spans="12:12" ht="35.25">
      <c r="L133" s="196"/>
    </row>
    <row r="134" spans="12:12" ht="35.25">
      <c r="L134" s="196"/>
    </row>
    <row r="135" spans="12:12" ht="35.25">
      <c r="L135" s="196"/>
    </row>
    <row r="136" spans="12:12" ht="35.25">
      <c r="L136" s="196"/>
    </row>
    <row r="137" spans="12:12" ht="35.25">
      <c r="L137" s="196"/>
    </row>
    <row r="138" spans="12:12" ht="35.25">
      <c r="L138" s="196"/>
    </row>
    <row r="139" spans="12:12" ht="35.25">
      <c r="L139" s="196"/>
    </row>
    <row r="140" spans="12:12" ht="35.25">
      <c r="L140" s="196"/>
    </row>
    <row r="141" spans="12:12" ht="35.25">
      <c r="L141" s="196"/>
    </row>
    <row r="142" spans="12:12" ht="35.25">
      <c r="L142" s="196"/>
    </row>
    <row r="143" spans="12:12" ht="35.25">
      <c r="L143" s="196"/>
    </row>
    <row r="144" spans="12:12" ht="35.25">
      <c r="L144" s="196"/>
    </row>
    <row r="145" spans="12:12" ht="35.25">
      <c r="L145" s="196"/>
    </row>
    <row r="146" spans="12:12" ht="35.25">
      <c r="L146" s="196"/>
    </row>
    <row r="147" spans="12:12" ht="35.25">
      <c r="L147" s="196"/>
    </row>
    <row r="148" spans="12:12" ht="35.25">
      <c r="L148" s="196"/>
    </row>
    <row r="149" spans="12:12" ht="35.25">
      <c r="L149" s="196"/>
    </row>
    <row r="150" spans="12:12" ht="35.25">
      <c r="L150" s="196"/>
    </row>
    <row r="151" spans="12:12" ht="35.25">
      <c r="L151" s="196"/>
    </row>
    <row r="152" spans="12:12" ht="35.25">
      <c r="L152" s="196"/>
    </row>
    <row r="153" spans="12:12" ht="35.25">
      <c r="L153" s="196"/>
    </row>
    <row r="154" spans="12:12" ht="35.25">
      <c r="L154" s="196"/>
    </row>
    <row r="155" spans="12:12" ht="35.25">
      <c r="L155" s="196"/>
    </row>
    <row r="156" spans="12:12" ht="35.25">
      <c r="L156" s="196"/>
    </row>
    <row r="157" spans="12:12" ht="35.25">
      <c r="L157" s="196"/>
    </row>
    <row r="158" spans="12:12" ht="35.25">
      <c r="L158" s="196"/>
    </row>
    <row r="159" spans="12:12" ht="35.25">
      <c r="L159" s="196"/>
    </row>
    <row r="160" spans="12:12" ht="35.25">
      <c r="L160" s="196"/>
    </row>
    <row r="161" spans="12:12" ht="35.25">
      <c r="L161" s="196"/>
    </row>
    <row r="162" spans="12:12" ht="35.25">
      <c r="L162" s="196"/>
    </row>
    <row r="163" spans="12:12" ht="35.25">
      <c r="L163" s="196"/>
    </row>
    <row r="164" spans="12:12" ht="35.25">
      <c r="L164" s="196"/>
    </row>
    <row r="165" spans="12:12" ht="35.25">
      <c r="L165" s="196"/>
    </row>
    <row r="166" spans="12:12" ht="35.25">
      <c r="L166" s="196"/>
    </row>
    <row r="167" spans="12:12" ht="35.25">
      <c r="L167" s="196"/>
    </row>
    <row r="168" spans="12:12" ht="35.25">
      <c r="L168" s="196"/>
    </row>
    <row r="169" spans="12:12" ht="35.25">
      <c r="L169" s="196"/>
    </row>
    <row r="170" spans="12:12" ht="35.25">
      <c r="L170" s="196"/>
    </row>
    <row r="171" spans="12:12" ht="35.25">
      <c r="L171" s="196"/>
    </row>
    <row r="172" spans="12:12" ht="35.25">
      <c r="L172" s="196"/>
    </row>
    <row r="173" spans="12:12" ht="35.25">
      <c r="L173" s="196"/>
    </row>
    <row r="174" spans="12:12" ht="35.25">
      <c r="L174" s="196"/>
    </row>
    <row r="175" spans="12:12" ht="35.25">
      <c r="L175" s="196"/>
    </row>
    <row r="176" spans="12:12" ht="35.25">
      <c r="L176" s="196"/>
    </row>
    <row r="177" spans="12:12" ht="35.25">
      <c r="L177" s="196"/>
    </row>
    <row r="178" spans="12:12" ht="35.25">
      <c r="L178" s="196"/>
    </row>
    <row r="179" spans="12:12" ht="35.25">
      <c r="L179" s="196"/>
    </row>
    <row r="180" spans="12:12" ht="35.25">
      <c r="L180" s="196"/>
    </row>
    <row r="181" spans="12:12" ht="35.25">
      <c r="L181" s="196"/>
    </row>
    <row r="182" spans="12:12" ht="35.25">
      <c r="L182" s="196"/>
    </row>
    <row r="183" spans="12:12" ht="35.25">
      <c r="L183" s="196"/>
    </row>
    <row r="184" spans="12:12" ht="35.25">
      <c r="L184" s="196"/>
    </row>
    <row r="185" spans="12:12" ht="35.25">
      <c r="L185" s="196"/>
    </row>
    <row r="186" spans="12:12" ht="35.25">
      <c r="L186" s="196"/>
    </row>
    <row r="187" spans="12:12" ht="35.25">
      <c r="L187" s="196"/>
    </row>
    <row r="188" spans="12:12" ht="35.25">
      <c r="L188" s="196"/>
    </row>
    <row r="189" spans="12:12" ht="35.25">
      <c r="L189" s="196"/>
    </row>
    <row r="190" spans="12:12" ht="35.25">
      <c r="L190" s="196"/>
    </row>
    <row r="191" spans="12:12" ht="35.25">
      <c r="L191" s="196"/>
    </row>
    <row r="192" spans="12:12" ht="35.25">
      <c r="L192" s="196"/>
    </row>
    <row r="193" spans="12:12" ht="35.25">
      <c r="L193" s="196"/>
    </row>
    <row r="194" spans="12:12" ht="35.25">
      <c r="L194" s="196"/>
    </row>
    <row r="195" spans="12:12" ht="35.25">
      <c r="L195" s="196"/>
    </row>
    <row r="196" spans="12:12" ht="35.25">
      <c r="L196" s="196"/>
    </row>
    <row r="197" spans="12:12" ht="35.25">
      <c r="L197" s="196"/>
    </row>
    <row r="198" spans="12:12" ht="35.25">
      <c r="L198" s="196"/>
    </row>
    <row r="199" spans="12:12" ht="35.25">
      <c r="L199" s="196"/>
    </row>
    <row r="200" spans="12:12" ht="35.25">
      <c r="L200" s="196"/>
    </row>
    <row r="201" spans="12:12" ht="35.25">
      <c r="L201" s="196"/>
    </row>
    <row r="202" spans="12:12" ht="35.25">
      <c r="L202" s="196"/>
    </row>
    <row r="203" spans="12:12" ht="35.25">
      <c r="L203" s="196"/>
    </row>
    <row r="204" spans="12:12" ht="35.25">
      <c r="L204" s="196"/>
    </row>
    <row r="205" spans="12:12" ht="35.25">
      <c r="L205" s="196"/>
    </row>
    <row r="206" spans="12:12" ht="35.25">
      <c r="L206" s="196"/>
    </row>
    <row r="207" spans="12:12" ht="35.25">
      <c r="L207" s="196"/>
    </row>
    <row r="208" spans="12:12" ht="35.25">
      <c r="L208" s="196"/>
    </row>
    <row r="209" spans="12:12" ht="35.25">
      <c r="L209" s="196"/>
    </row>
    <row r="210" spans="12:12" ht="35.25">
      <c r="L210" s="196"/>
    </row>
    <row r="211" spans="12:12" ht="35.25">
      <c r="L211" s="196"/>
    </row>
    <row r="212" spans="12:12" ht="35.25">
      <c r="L212" s="196"/>
    </row>
    <row r="213" spans="12:12" ht="35.25">
      <c r="L213" s="196"/>
    </row>
    <row r="214" spans="12:12" ht="35.25">
      <c r="L214" s="196"/>
    </row>
    <row r="215" spans="12:12" ht="35.25">
      <c r="L215" s="196"/>
    </row>
    <row r="216" spans="12:12" ht="35.25">
      <c r="L216" s="196"/>
    </row>
    <row r="217" spans="12:12" ht="35.25">
      <c r="L217" s="196"/>
    </row>
    <row r="218" spans="12:12" ht="35.25">
      <c r="L218" s="196"/>
    </row>
    <row r="219" spans="12:12" ht="35.25">
      <c r="L219" s="196"/>
    </row>
    <row r="220" spans="12:12" ht="35.25">
      <c r="L220" s="196"/>
    </row>
    <row r="221" spans="12:12" ht="35.25">
      <c r="L221" s="196"/>
    </row>
    <row r="222" spans="12:12" ht="35.25">
      <c r="L222" s="196"/>
    </row>
    <row r="223" spans="12:12" ht="35.25">
      <c r="L223" s="196"/>
    </row>
    <row r="224" spans="12:12" ht="35.25">
      <c r="L224" s="196"/>
    </row>
    <row r="225" spans="12:12" ht="35.25">
      <c r="L225" s="196"/>
    </row>
    <row r="226" spans="12:12" ht="35.25">
      <c r="L226" s="196"/>
    </row>
    <row r="227" spans="12:12" ht="35.25">
      <c r="L227" s="196"/>
    </row>
    <row r="228" spans="12:12" ht="35.25">
      <c r="L228" s="196"/>
    </row>
    <row r="229" spans="12:12" ht="35.25">
      <c r="L229" s="196"/>
    </row>
    <row r="230" spans="12:12" ht="35.25">
      <c r="L230" s="196"/>
    </row>
    <row r="231" spans="12:12" ht="35.25">
      <c r="L231" s="196"/>
    </row>
    <row r="232" spans="12:12" ht="35.25">
      <c r="L232" s="196"/>
    </row>
    <row r="233" spans="12:12" ht="35.25">
      <c r="L233" s="196"/>
    </row>
    <row r="234" spans="12:12" ht="35.25">
      <c r="L234" s="196"/>
    </row>
    <row r="235" spans="12:12" ht="35.25">
      <c r="L235" s="196"/>
    </row>
    <row r="236" spans="12:12" ht="35.25">
      <c r="L236" s="196"/>
    </row>
    <row r="237" spans="12:12" ht="35.25">
      <c r="L237" s="196"/>
    </row>
    <row r="238" spans="12:12" ht="35.25">
      <c r="L238" s="196"/>
    </row>
    <row r="239" spans="12:12" ht="35.25">
      <c r="L239" s="196"/>
    </row>
    <row r="240" spans="12:12" ht="35.25">
      <c r="L240" s="196"/>
    </row>
    <row r="241" spans="12:12" ht="35.25">
      <c r="L241" s="196"/>
    </row>
    <row r="242" spans="12:12" ht="35.25">
      <c r="L242" s="196"/>
    </row>
    <row r="243" spans="12:12" ht="35.25">
      <c r="L243" s="196"/>
    </row>
    <row r="244" spans="12:12" ht="35.25">
      <c r="L244" s="196"/>
    </row>
    <row r="245" spans="12:12" ht="35.25">
      <c r="L245" s="196"/>
    </row>
    <row r="246" spans="12:12" ht="35.25">
      <c r="L246" s="196"/>
    </row>
    <row r="247" spans="12:12" ht="35.25">
      <c r="L247" s="196"/>
    </row>
    <row r="248" spans="12:12" ht="35.25">
      <c r="L248" s="196"/>
    </row>
    <row r="249" spans="12:12" ht="35.25">
      <c r="L249" s="196"/>
    </row>
    <row r="250" spans="12:12" ht="35.25">
      <c r="L250" s="196"/>
    </row>
    <row r="251" spans="12:12" ht="35.25">
      <c r="L251" s="196"/>
    </row>
    <row r="252" spans="12:12" ht="35.25">
      <c r="L252" s="196"/>
    </row>
    <row r="253" spans="12:12" ht="35.25">
      <c r="L253" s="196"/>
    </row>
    <row r="254" spans="12:12" ht="35.25">
      <c r="L254" s="196"/>
    </row>
    <row r="255" spans="12:12" ht="35.25">
      <c r="L255" s="196"/>
    </row>
    <row r="256" spans="12:12" ht="35.25">
      <c r="L256" s="196"/>
    </row>
    <row r="257" spans="12:12" ht="35.25">
      <c r="L257" s="196"/>
    </row>
    <row r="258" spans="12:12" ht="35.25">
      <c r="L258" s="196"/>
    </row>
    <row r="259" spans="12:12" ht="35.25">
      <c r="L259" s="196"/>
    </row>
    <row r="260" spans="12:12" ht="35.25">
      <c r="L260" s="196"/>
    </row>
    <row r="261" spans="12:12" ht="35.25">
      <c r="L261" s="196"/>
    </row>
    <row r="262" spans="12:12" ht="35.25">
      <c r="L262" s="196"/>
    </row>
    <row r="263" spans="12:12" ht="35.25">
      <c r="L263" s="196"/>
    </row>
    <row r="264" spans="12:12" ht="35.25">
      <c r="L264" s="196"/>
    </row>
    <row r="265" spans="12:12" ht="35.25">
      <c r="L265" s="196"/>
    </row>
    <row r="266" spans="12:12" ht="35.25">
      <c r="L266" s="196"/>
    </row>
    <row r="267" spans="12:12" ht="35.25">
      <c r="L267" s="196"/>
    </row>
    <row r="268" spans="12:12" ht="35.25">
      <c r="L268" s="196"/>
    </row>
    <row r="269" spans="12:12" ht="35.25">
      <c r="L269" s="196"/>
    </row>
    <row r="270" spans="12:12" ht="35.25">
      <c r="L270" s="196"/>
    </row>
    <row r="271" spans="12:12" ht="35.25">
      <c r="L271" s="196"/>
    </row>
    <row r="272" spans="12:12" ht="35.25">
      <c r="L272" s="196"/>
    </row>
    <row r="273" spans="12:12" ht="35.25">
      <c r="L273" s="196"/>
    </row>
    <row r="274" spans="12:12" ht="35.25">
      <c r="L274" s="196"/>
    </row>
    <row r="275" spans="12:12" ht="35.25">
      <c r="L275" s="196"/>
    </row>
    <row r="276" spans="12:12" ht="35.25">
      <c r="L276" s="196"/>
    </row>
    <row r="277" spans="12:12" ht="35.25">
      <c r="L277" s="196"/>
    </row>
    <row r="278" spans="12:12" ht="35.25">
      <c r="L278" s="196"/>
    </row>
    <row r="279" spans="12:12" ht="35.25">
      <c r="L279" s="196"/>
    </row>
    <row r="280" spans="12:12" ht="35.25">
      <c r="L280" s="196"/>
    </row>
    <row r="281" spans="12:12" ht="35.25">
      <c r="L281" s="196"/>
    </row>
    <row r="282" spans="12:12" ht="35.25">
      <c r="L282" s="196"/>
    </row>
    <row r="283" spans="12:12" ht="35.25">
      <c r="L283" s="196"/>
    </row>
    <row r="284" spans="12:12" ht="35.25">
      <c r="L284" s="196"/>
    </row>
    <row r="285" spans="12:12" ht="35.25">
      <c r="L285" s="196"/>
    </row>
    <row r="286" spans="12:12" ht="35.25">
      <c r="L286" s="196"/>
    </row>
    <row r="287" spans="12:12" ht="35.25">
      <c r="L287" s="196"/>
    </row>
    <row r="288" spans="12:12" ht="35.25">
      <c r="L288" s="196"/>
    </row>
    <row r="289" spans="12:12" ht="35.25">
      <c r="L289" s="196"/>
    </row>
    <row r="290" spans="12:12" ht="35.25">
      <c r="L290" s="196"/>
    </row>
    <row r="291" spans="12:12" ht="35.25">
      <c r="L291" s="196"/>
    </row>
    <row r="292" spans="12:12" ht="35.25">
      <c r="L292" s="196"/>
    </row>
    <row r="293" spans="12:12" ht="35.25">
      <c r="L293" s="196"/>
    </row>
    <row r="294" spans="12:12" ht="35.25">
      <c r="L294" s="196"/>
    </row>
    <row r="295" spans="12:12" ht="35.25">
      <c r="L295" s="196"/>
    </row>
    <row r="296" spans="12:12" ht="35.25">
      <c r="L296" s="196"/>
    </row>
    <row r="297" spans="12:12" ht="35.25">
      <c r="L297" s="196"/>
    </row>
    <row r="298" spans="12:12" ht="35.25">
      <c r="L298" s="196"/>
    </row>
    <row r="299" spans="12:12" ht="35.25">
      <c r="L299" s="196"/>
    </row>
    <row r="300" spans="12:12" ht="35.25">
      <c r="L300" s="196"/>
    </row>
    <row r="301" spans="12:12" ht="35.25">
      <c r="L301" s="196"/>
    </row>
    <row r="302" spans="12:12" ht="35.25">
      <c r="L302" s="196"/>
    </row>
    <row r="303" spans="12:12" ht="35.25">
      <c r="L303" s="196"/>
    </row>
    <row r="304" spans="12:12" ht="35.25">
      <c r="L304" s="196"/>
    </row>
    <row r="305" spans="12:12" ht="35.25">
      <c r="L305" s="196"/>
    </row>
    <row r="306" spans="12:12" ht="35.25">
      <c r="L306" s="196"/>
    </row>
    <row r="307" spans="12:12" ht="35.25">
      <c r="L307" s="196"/>
    </row>
    <row r="308" spans="12:12" ht="35.25">
      <c r="L308" s="196"/>
    </row>
    <row r="309" spans="12:12" ht="35.25">
      <c r="L309" s="196"/>
    </row>
    <row r="310" spans="12:12" ht="35.25">
      <c r="L310" s="196"/>
    </row>
    <row r="311" spans="12:12" ht="35.25">
      <c r="L311" s="196"/>
    </row>
    <row r="312" spans="12:12" ht="35.25">
      <c r="L312" s="196"/>
    </row>
    <row r="313" spans="12:12" ht="35.25">
      <c r="L313" s="196"/>
    </row>
    <row r="314" spans="12:12" ht="35.25">
      <c r="L314" s="196"/>
    </row>
    <row r="315" spans="12:12" ht="35.25">
      <c r="L315" s="196"/>
    </row>
    <row r="316" spans="12:12" ht="35.25">
      <c r="L316" s="196"/>
    </row>
    <row r="317" spans="12:12" ht="35.25">
      <c r="L317" s="196"/>
    </row>
    <row r="318" spans="12:12" ht="35.25">
      <c r="L318" s="196"/>
    </row>
    <row r="319" spans="12:12" ht="35.25">
      <c r="L319" s="196"/>
    </row>
    <row r="320" spans="12:12" ht="35.25">
      <c r="L320" s="196"/>
    </row>
    <row r="321" spans="12:12" ht="35.25">
      <c r="L321" s="196"/>
    </row>
    <row r="322" spans="12:12" ht="35.25">
      <c r="L322" s="196"/>
    </row>
    <row r="323" spans="12:12" ht="35.25">
      <c r="L323" s="196"/>
    </row>
    <row r="324" spans="12:12" ht="35.25">
      <c r="L324" s="196"/>
    </row>
    <row r="325" spans="12:12" ht="35.25">
      <c r="L325" s="196"/>
    </row>
    <row r="326" spans="12:12" ht="35.25">
      <c r="L326" s="196"/>
    </row>
    <row r="327" spans="12:12" ht="35.25">
      <c r="L327" s="196"/>
    </row>
    <row r="328" spans="12:12" ht="35.25">
      <c r="L328" s="196"/>
    </row>
    <row r="329" spans="12:12" ht="35.25">
      <c r="L329" s="196"/>
    </row>
    <row r="330" spans="12:12" ht="35.25">
      <c r="L330" s="196"/>
    </row>
    <row r="331" spans="12:12" ht="35.25">
      <c r="L331" s="196"/>
    </row>
    <row r="332" spans="12:12" ht="35.25">
      <c r="L332" s="196"/>
    </row>
    <row r="333" spans="12:12" ht="35.25">
      <c r="L333" s="196"/>
    </row>
    <row r="334" spans="12:12" ht="35.25">
      <c r="L334" s="196"/>
    </row>
    <row r="335" spans="12:12" ht="35.25">
      <c r="L335" s="196"/>
    </row>
    <row r="336" spans="12:12" ht="35.25">
      <c r="L336" s="196"/>
    </row>
    <row r="337" spans="12:12" ht="35.25">
      <c r="L337" s="196"/>
    </row>
    <row r="338" spans="12:12" ht="35.25">
      <c r="L338" s="196"/>
    </row>
    <row r="339" spans="12:12" ht="35.25">
      <c r="L339" s="196"/>
    </row>
    <row r="340" spans="12:12" ht="35.25">
      <c r="L340" s="196"/>
    </row>
    <row r="341" spans="12:12" ht="35.25">
      <c r="L341" s="196"/>
    </row>
    <row r="342" spans="12:12" ht="35.25">
      <c r="L342" s="196"/>
    </row>
    <row r="343" spans="12:12" ht="35.25">
      <c r="L343" s="196"/>
    </row>
    <row r="344" spans="12:12" ht="35.25">
      <c r="L344" s="196"/>
    </row>
    <row r="345" spans="12:12" ht="35.25">
      <c r="L345" s="196"/>
    </row>
    <row r="346" spans="12:12" ht="35.25">
      <c r="L346" s="196"/>
    </row>
    <row r="347" spans="12:12" ht="35.25">
      <c r="L347" s="196"/>
    </row>
    <row r="348" spans="12:12" ht="35.25">
      <c r="L348" s="196"/>
    </row>
    <row r="349" spans="12:12" ht="35.25">
      <c r="L349" s="196"/>
    </row>
    <row r="350" spans="12:12" ht="35.25">
      <c r="L350" s="196"/>
    </row>
    <row r="351" spans="12:12" ht="35.25">
      <c r="L351" s="196"/>
    </row>
    <row r="352" spans="12:12" ht="35.25">
      <c r="L352" s="196"/>
    </row>
    <row r="353" spans="12:12" ht="35.25">
      <c r="L353" s="196"/>
    </row>
    <row r="354" spans="12:12" ht="35.25">
      <c r="L354" s="196"/>
    </row>
    <row r="355" spans="12:12" ht="35.25">
      <c r="L355" s="196"/>
    </row>
    <row r="356" spans="12:12" ht="35.25">
      <c r="L356" s="196"/>
    </row>
    <row r="357" spans="12:12" ht="35.25">
      <c r="L357" s="196"/>
    </row>
    <row r="358" spans="12:12" ht="35.25">
      <c r="L358" s="196"/>
    </row>
    <row r="359" spans="12:12" ht="35.25">
      <c r="L359" s="196"/>
    </row>
    <row r="360" spans="12:12" ht="35.25">
      <c r="L360" s="196"/>
    </row>
    <row r="361" spans="12:12" ht="35.25">
      <c r="L361" s="196"/>
    </row>
    <row r="362" spans="12:12" ht="35.25">
      <c r="L362" s="196"/>
    </row>
    <row r="363" spans="12:12" ht="35.25">
      <c r="L363" s="196"/>
    </row>
    <row r="364" spans="12:12" ht="35.25">
      <c r="L364" s="196"/>
    </row>
    <row r="365" spans="12:12" ht="35.25">
      <c r="L365" s="196"/>
    </row>
    <row r="366" spans="12:12" ht="35.25">
      <c r="L366" s="196"/>
    </row>
    <row r="367" spans="12:12" ht="35.25">
      <c r="L367" s="196"/>
    </row>
    <row r="368" spans="12:12" ht="35.25">
      <c r="L368" s="196"/>
    </row>
    <row r="369" spans="12:12" ht="35.25">
      <c r="L369" s="196"/>
    </row>
    <row r="370" spans="12:12" ht="35.25">
      <c r="L370" s="196"/>
    </row>
    <row r="371" spans="12:12" ht="35.25">
      <c r="L371" s="196"/>
    </row>
    <row r="372" spans="12:12" ht="35.25">
      <c r="L372" s="196"/>
    </row>
    <row r="373" spans="12:12" ht="35.25">
      <c r="L373" s="196"/>
    </row>
    <row r="374" spans="12:12" ht="35.25">
      <c r="L374" s="196"/>
    </row>
    <row r="375" spans="12:12" ht="35.25">
      <c r="L375" s="196"/>
    </row>
    <row r="376" spans="12:12" ht="35.25">
      <c r="L376" s="196"/>
    </row>
    <row r="377" spans="12:12" ht="35.25">
      <c r="L377" s="196"/>
    </row>
    <row r="378" spans="12:12" ht="35.25">
      <c r="L378" s="196"/>
    </row>
    <row r="379" spans="12:12" ht="35.25">
      <c r="L379" s="196"/>
    </row>
    <row r="380" spans="12:12" ht="35.25">
      <c r="L380" s="196"/>
    </row>
    <row r="381" spans="12:12" ht="35.25">
      <c r="L381" s="196"/>
    </row>
    <row r="382" spans="12:12" ht="35.25">
      <c r="L382" s="196"/>
    </row>
    <row r="383" spans="12:12" ht="35.25">
      <c r="L383" s="196"/>
    </row>
    <row r="384" spans="12:12" ht="35.25">
      <c r="L384" s="196"/>
    </row>
    <row r="385" spans="12:12" ht="35.25">
      <c r="L385" s="196"/>
    </row>
    <row r="386" spans="12:12" ht="35.25">
      <c r="L386" s="196"/>
    </row>
    <row r="387" spans="12:12" ht="35.25">
      <c r="L387" s="196"/>
    </row>
    <row r="388" spans="12:12" ht="35.25">
      <c r="L388" s="196"/>
    </row>
    <row r="389" spans="12:12" ht="35.25">
      <c r="L389" s="196"/>
    </row>
    <row r="390" spans="12:12" ht="35.25">
      <c r="L390" s="196"/>
    </row>
    <row r="391" spans="12:12" ht="35.25">
      <c r="L391" s="196"/>
    </row>
    <row r="392" spans="12:12" ht="35.25">
      <c r="L392" s="196"/>
    </row>
    <row r="393" spans="12:12" ht="35.25">
      <c r="L393" s="196"/>
    </row>
    <row r="394" spans="12:12" ht="35.25">
      <c r="L394" s="196"/>
    </row>
    <row r="395" spans="12:12" ht="35.25">
      <c r="L395" s="196"/>
    </row>
    <row r="396" spans="12:12" ht="35.25">
      <c r="L396" s="196"/>
    </row>
    <row r="397" spans="12:12" ht="35.25">
      <c r="L397" s="196"/>
    </row>
    <row r="398" spans="12:12" ht="35.25">
      <c r="L398" s="196"/>
    </row>
    <row r="399" spans="12:12" ht="35.25">
      <c r="L399" s="196"/>
    </row>
    <row r="400" spans="12:12" ht="35.25">
      <c r="L400" s="196"/>
    </row>
    <row r="401" spans="12:12" ht="35.25">
      <c r="L401" s="196"/>
    </row>
    <row r="402" spans="12:12" ht="35.25">
      <c r="L402" s="196"/>
    </row>
    <row r="403" spans="12:12" ht="35.25">
      <c r="L403" s="196"/>
    </row>
    <row r="404" spans="12:12" ht="35.25">
      <c r="L404" s="196"/>
    </row>
    <row r="405" spans="12:12" ht="35.25">
      <c r="L405" s="196"/>
    </row>
    <row r="406" spans="12:12" ht="35.25">
      <c r="L406" s="196"/>
    </row>
    <row r="407" spans="12:12" ht="35.25">
      <c r="L407" s="196"/>
    </row>
    <row r="408" spans="12:12" ht="35.25">
      <c r="L408" s="196"/>
    </row>
    <row r="409" spans="12:12" ht="35.25">
      <c r="L409" s="196"/>
    </row>
    <row r="410" spans="12:12" ht="35.25">
      <c r="L410" s="196"/>
    </row>
    <row r="411" spans="12:12" ht="35.25">
      <c r="L411" s="196"/>
    </row>
    <row r="412" spans="12:12" ht="35.25">
      <c r="L412" s="196"/>
    </row>
    <row r="413" spans="12:12" ht="35.25">
      <c r="L413" s="196"/>
    </row>
    <row r="414" spans="12:12" ht="35.25">
      <c r="L414" s="196"/>
    </row>
    <row r="415" spans="12:12" ht="35.25">
      <c r="L415" s="196"/>
    </row>
    <row r="416" spans="12:12" ht="35.25">
      <c r="L416" s="196"/>
    </row>
    <row r="417" spans="12:12" ht="35.25">
      <c r="L417" s="196"/>
    </row>
    <row r="418" spans="12:12" ht="35.25">
      <c r="L418" s="196"/>
    </row>
    <row r="419" spans="12:12" ht="35.25">
      <c r="L419" s="196"/>
    </row>
    <row r="420" spans="12:12" ht="35.25">
      <c r="L420" s="196"/>
    </row>
    <row r="421" spans="12:12" ht="35.25">
      <c r="L421" s="196"/>
    </row>
    <row r="422" spans="12:12" ht="35.25">
      <c r="L422" s="196"/>
    </row>
    <row r="423" spans="12:12" ht="35.25">
      <c r="L423" s="196"/>
    </row>
    <row r="424" spans="12:12" ht="35.25">
      <c r="L424" s="196"/>
    </row>
    <row r="425" spans="12:12" ht="35.25">
      <c r="L425" s="196"/>
    </row>
    <row r="426" spans="12:12" ht="35.25">
      <c r="L426" s="196"/>
    </row>
    <row r="427" spans="12:12" ht="35.25">
      <c r="L427" s="196"/>
    </row>
    <row r="428" spans="12:12" ht="35.25">
      <c r="L428" s="196"/>
    </row>
    <row r="429" spans="12:12" ht="35.25">
      <c r="L429" s="196"/>
    </row>
    <row r="430" spans="12:12" ht="35.25">
      <c r="L430" s="196"/>
    </row>
    <row r="431" spans="12:12" ht="35.25">
      <c r="L431" s="196"/>
    </row>
    <row r="432" spans="12:12" ht="35.25">
      <c r="L432" s="196"/>
    </row>
    <row r="433" spans="12:12" ht="35.25">
      <c r="L433" s="196"/>
    </row>
    <row r="434" spans="12:12" ht="35.25">
      <c r="L434" s="196"/>
    </row>
    <row r="435" spans="12:12" ht="35.25">
      <c r="L435" s="196"/>
    </row>
    <row r="436" spans="12:12" ht="35.25">
      <c r="L436" s="196"/>
    </row>
    <row r="437" spans="12:12" ht="35.25">
      <c r="L437" s="196"/>
    </row>
    <row r="438" spans="12:12" ht="35.25">
      <c r="L438" s="196"/>
    </row>
    <row r="439" spans="12:12" ht="35.25">
      <c r="L439" s="196"/>
    </row>
    <row r="440" spans="12:12" ht="35.25">
      <c r="L440" s="196"/>
    </row>
    <row r="441" spans="12:12" ht="35.25">
      <c r="L441" s="196"/>
    </row>
    <row r="442" spans="12:12" ht="35.25">
      <c r="L442" s="196"/>
    </row>
    <row r="443" spans="12:12" ht="35.25">
      <c r="L443" s="196"/>
    </row>
    <row r="444" spans="12:12" ht="35.25">
      <c r="L444" s="196"/>
    </row>
    <row r="445" spans="12:12" ht="35.25">
      <c r="L445" s="196"/>
    </row>
    <row r="446" spans="12:12" ht="35.25">
      <c r="L446" s="196"/>
    </row>
    <row r="447" spans="12:12" ht="35.25">
      <c r="L447" s="196"/>
    </row>
    <row r="448" spans="12:12" ht="35.25">
      <c r="L448" s="196"/>
    </row>
    <row r="449" spans="12:12" ht="35.25">
      <c r="L449" s="196"/>
    </row>
    <row r="450" spans="12:12" ht="35.25">
      <c r="L450" s="196"/>
    </row>
    <row r="451" spans="12:12" ht="35.25">
      <c r="L451" s="196"/>
    </row>
    <row r="452" spans="12:12" ht="35.25">
      <c r="L452" s="196"/>
    </row>
    <row r="453" spans="12:12" ht="35.25">
      <c r="L453" s="196"/>
    </row>
    <row r="454" spans="12:12" ht="35.25">
      <c r="L454" s="196"/>
    </row>
    <row r="455" spans="12:12" ht="35.25">
      <c r="L455" s="196"/>
    </row>
    <row r="456" spans="12:12" ht="35.25">
      <c r="L456" s="196"/>
    </row>
    <row r="457" spans="12:12" ht="35.25">
      <c r="L457" s="196"/>
    </row>
    <row r="458" spans="12:12" ht="35.25">
      <c r="L458" s="196"/>
    </row>
    <row r="459" spans="12:12" ht="35.25">
      <c r="L459" s="196"/>
    </row>
    <row r="460" spans="12:12" ht="35.25">
      <c r="L460" s="196"/>
    </row>
    <row r="461" spans="12:12" ht="35.25">
      <c r="L461" s="196"/>
    </row>
    <row r="462" spans="12:12" ht="35.25">
      <c r="L462" s="196"/>
    </row>
    <row r="463" spans="12:12" ht="35.25">
      <c r="L463" s="196"/>
    </row>
    <row r="464" spans="12:12" ht="35.25">
      <c r="L464" s="196"/>
    </row>
    <row r="465" spans="12:12" ht="35.25">
      <c r="L465" s="196"/>
    </row>
    <row r="466" spans="12:12" ht="35.25">
      <c r="L466" s="196"/>
    </row>
    <row r="467" spans="12:12" ht="35.25">
      <c r="L467" s="196"/>
    </row>
    <row r="468" spans="12:12" ht="35.25">
      <c r="L468" s="196"/>
    </row>
    <row r="469" spans="12:12" ht="35.25">
      <c r="L469" s="196"/>
    </row>
    <row r="470" spans="12:12" ht="35.25">
      <c r="L470" s="196"/>
    </row>
    <row r="471" spans="12:12" ht="35.25">
      <c r="L471" s="196"/>
    </row>
    <row r="472" spans="12:12" ht="35.25">
      <c r="L472" s="196"/>
    </row>
    <row r="473" spans="12:12" ht="35.25">
      <c r="L473" s="196"/>
    </row>
    <row r="474" spans="12:12" ht="35.25">
      <c r="L474" s="196"/>
    </row>
    <row r="475" spans="12:12" ht="35.25">
      <c r="L475" s="196"/>
    </row>
    <row r="476" spans="12:12" ht="35.25">
      <c r="L476" s="196"/>
    </row>
    <row r="477" spans="12:12" ht="35.25">
      <c r="L477" s="196"/>
    </row>
    <row r="478" spans="12:12" ht="35.25">
      <c r="L478" s="196"/>
    </row>
    <row r="479" spans="12:12" ht="35.25">
      <c r="L479" s="196"/>
    </row>
    <row r="480" spans="12:12" ht="35.25">
      <c r="L480" s="196"/>
    </row>
    <row r="481" spans="12:12" ht="35.25">
      <c r="L481" s="196"/>
    </row>
    <row r="482" spans="12:12" ht="35.25">
      <c r="L482" s="196"/>
    </row>
    <row r="483" spans="12:12" ht="35.25">
      <c r="L483" s="196"/>
    </row>
    <row r="484" spans="12:12" ht="35.25">
      <c r="L484" s="196"/>
    </row>
    <row r="485" spans="12:12" ht="35.25">
      <c r="L485" s="196"/>
    </row>
    <row r="486" spans="12:12" ht="35.25">
      <c r="L486" s="196"/>
    </row>
    <row r="487" spans="12:12" ht="35.25">
      <c r="L487" s="196"/>
    </row>
    <row r="488" spans="12:12" ht="35.25">
      <c r="L488" s="196"/>
    </row>
    <row r="489" spans="12:12" ht="35.25">
      <c r="L489" s="196"/>
    </row>
    <row r="490" spans="12:12" ht="35.25">
      <c r="L490" s="196"/>
    </row>
    <row r="491" spans="12:12" ht="35.25">
      <c r="L491" s="196"/>
    </row>
    <row r="492" spans="12:12" ht="35.25">
      <c r="L492" s="196"/>
    </row>
    <row r="493" spans="12:12" ht="35.25">
      <c r="L493" s="196"/>
    </row>
    <row r="494" spans="12:12" ht="35.25">
      <c r="L494" s="196"/>
    </row>
    <row r="495" spans="12:12" ht="35.25">
      <c r="L495" s="196"/>
    </row>
    <row r="496" spans="12:12" ht="35.25">
      <c r="L496" s="196"/>
    </row>
    <row r="497" spans="12:12" ht="35.25">
      <c r="L497" s="196"/>
    </row>
    <row r="498" spans="12:12" ht="35.25">
      <c r="L498" s="196"/>
    </row>
    <row r="499" spans="12:12" ht="35.25">
      <c r="L499" s="196"/>
    </row>
    <row r="500" spans="12:12" ht="35.25">
      <c r="L500" s="196"/>
    </row>
    <row r="501" spans="12:12" ht="35.25">
      <c r="L501" s="196"/>
    </row>
    <row r="502" spans="12:12" ht="35.25">
      <c r="L502" s="196"/>
    </row>
    <row r="503" spans="12:12" ht="35.25">
      <c r="L503" s="196"/>
    </row>
    <row r="504" spans="12:12" ht="35.25">
      <c r="L504" s="196"/>
    </row>
    <row r="505" spans="12:12" ht="35.25">
      <c r="L505" s="196"/>
    </row>
    <row r="506" spans="12:12" ht="35.25">
      <c r="L506" s="196"/>
    </row>
    <row r="507" spans="12:12" ht="35.25">
      <c r="L507" s="196"/>
    </row>
    <row r="508" spans="12:12" ht="35.25">
      <c r="L508" s="196"/>
    </row>
    <row r="509" spans="12:12" ht="35.25">
      <c r="L509" s="196"/>
    </row>
    <row r="510" spans="12:12" ht="35.25">
      <c r="L510" s="196"/>
    </row>
    <row r="511" spans="12:12" ht="35.25">
      <c r="L511" s="196"/>
    </row>
    <row r="512" spans="12:12" ht="35.25">
      <c r="L512" s="196"/>
    </row>
    <row r="513" spans="12:12" ht="35.25">
      <c r="L513" s="196"/>
    </row>
  </sheetData>
  <dataConsolidate/>
  <mergeCells count="1">
    <mergeCell ref="Q4:Z4"/>
  </mergeCells>
  <conditionalFormatting sqref="F8:F1459">
    <cfRule type="expression" dxfId="90" priority="5">
      <formula>LEN($F8)&gt;15</formula>
    </cfRule>
  </conditionalFormatting>
  <conditionalFormatting sqref="G8:G1459">
    <cfRule type="expression" dxfId="89" priority="4">
      <formula>LEN($G8)&gt;3</formula>
    </cfRule>
  </conditionalFormatting>
  <conditionalFormatting sqref="H8:H1459">
    <cfRule type="expression" dxfId="88" priority="3">
      <formula>LEN($H8)&gt;20</formula>
    </cfRule>
  </conditionalFormatting>
  <conditionalFormatting sqref="I8:I1459">
    <cfRule type="expression" dxfId="87" priority="2">
      <formula>LEN($I8)&gt;15</formula>
    </cfRule>
  </conditionalFormatting>
  <conditionalFormatting sqref="E8:E1459">
    <cfRule type="expression" dxfId="86" priority="165">
      <formula>AND(LEN($E8)&lt;12,LEN($E8)&gt;1)</formula>
    </cfRule>
    <cfRule type="expression" dxfId="85" priority="166">
      <formula>LEN($E8)&gt;12</formula>
    </cfRule>
    <cfRule type="duplicateValues" dxfId="84" priority="167"/>
  </conditionalFormatting>
  <conditionalFormatting sqref="D8:D1459">
    <cfRule type="duplicateValues" dxfId="83" priority="171"/>
    <cfRule type="expression" dxfId="82" priority="172">
      <formula>LEN($D8)&gt;7</formula>
    </cfRule>
  </conditionalFormatting>
  <dataValidations count="2">
    <dataValidation type="decimal" operator="notEqual" allowBlank="1" showInputMessage="1" showErrorMessage="1" errorTitle="Falscheingabe" error="Nur Dezimalzahlen zulässig!" sqref="J7:K8" xr:uid="{00000000-0002-0000-0100-000000000000}">
      <formula1>0</formula1>
    </dataValidation>
    <dataValidation type="whole" operator="notEqual" allowBlank="1" showInputMessage="1" showErrorMessage="1" errorTitle="Falscheingabe" error="Nur ganze Zahlen!" sqref="F7:F8" xr:uid="{00000000-0002-0000-0100-000001000000}">
      <formula1>0</formula1>
    </dataValidation>
  </dataValidations>
  <pageMargins left="0.25" right="0.25" top="0.75" bottom="0.75" header="0.3" footer="0.3"/>
  <pageSetup paperSize="9" scale="61" firstPageNumber="2" fitToHeight="0" orientation="landscape" useFirstPageNumber="1" r:id="rId1"/>
  <headerFooter>
    <oddHeader>&amp;R&amp;G</oddHeader>
    <oddFooter>Seite &amp;P von &amp;N</oddFooter>
  </headerFooter>
  <rowBreaks count="1" manualBreakCount="1">
    <brk id="2" max="16383" man="1"/>
  </rowBreaks>
  <legacyDrawing r:id="rId2"/>
  <legacyDrawingHF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Hilfstabellen!$E$4:$E$5</xm:f>
          </x14:formula1>
          <xm:sqref>M7:N8</xm:sqref>
        </x14:dataValidation>
        <x14:dataValidation type="list" allowBlank="1" showInputMessage="1" showErrorMessage="1" xr:uid="{00000000-0002-0000-0100-000003000000}">
          <x14:formula1>
            <xm:f>Hilfstabellen!$F$17</xm:f>
          </x14:formula1>
          <xm:sqref>R7:AA7</xm:sqref>
        </x14:dataValidation>
        <x14:dataValidation type="list" allowBlank="1" showInputMessage="1" showErrorMessage="1" errorTitle="falsche Nutzungsart" error="Acker:A_x000a_Grünland: W_x000a_Obst: O_x000a_Rebe: R_x000a_Hopfen: H_x000a_Übrige: U" xr:uid="{00000000-0002-0000-0100-000004000000}">
          <x14:formula1>
            <xm:f>Hilfstabellen!$A$4:$A$9</xm:f>
          </x14:formula1>
          <xm:sqref>L7:L8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tabColor theme="1"/>
  </sheetPr>
  <dimension ref="A1:GB31"/>
  <sheetViews>
    <sheetView zoomScale="85" zoomScaleNormal="85" workbookViewId="0"/>
  </sheetViews>
  <sheetFormatPr baseColWidth="10" defaultRowHeight="15"/>
  <cols>
    <col min="2" max="2" width="18.28515625" customWidth="1"/>
    <col min="3" max="3" width="14.42578125" customWidth="1"/>
    <col min="4" max="4" width="11.28515625" customWidth="1"/>
    <col min="10" max="19" width="8.85546875" customWidth="1"/>
    <col min="48" max="48" width="11" customWidth="1"/>
    <col min="62" max="62" width="12.28515625" customWidth="1"/>
    <col min="64" max="64" width="13.140625" customWidth="1"/>
    <col min="73" max="73" width="12.42578125" customWidth="1"/>
    <col min="74" max="76" width="11.85546875" customWidth="1"/>
    <col min="84" max="85" width="11.28515625" customWidth="1"/>
    <col min="86" max="86" width="11.7109375" customWidth="1"/>
    <col min="88" max="88" width="11.42578125" customWidth="1"/>
    <col min="98" max="98" width="11.28515625" customWidth="1"/>
    <col min="104" max="104" width="12.140625" customWidth="1"/>
    <col min="105" max="105" width="11.85546875" customWidth="1"/>
    <col min="114" max="114" width="13" customWidth="1"/>
    <col min="115" max="115" width="11.7109375" customWidth="1"/>
    <col min="118" max="119" width="14.5703125" customWidth="1"/>
    <col min="131" max="131" width="12.7109375" customWidth="1"/>
    <col min="132" max="132" width="12.42578125" customWidth="1"/>
    <col min="142" max="142" width="13" customWidth="1"/>
    <col min="146" max="146" width="15" customWidth="1"/>
    <col min="149" max="149" width="12.5703125" customWidth="1"/>
    <col min="154" max="154" width="11.28515625" customWidth="1"/>
  </cols>
  <sheetData>
    <row r="1" spans="1:184">
      <c r="A1" s="60" t="s">
        <v>396</v>
      </c>
      <c r="B1" s="61" t="s">
        <v>3</v>
      </c>
      <c r="C1" s="199" t="s">
        <v>153</v>
      </c>
      <c r="D1" s="199" t="s">
        <v>397</v>
      </c>
      <c r="E1" s="199" t="s">
        <v>97</v>
      </c>
      <c r="F1" s="199" t="s">
        <v>398</v>
      </c>
      <c r="G1" s="199"/>
      <c r="H1" s="199" t="s">
        <v>155</v>
      </c>
      <c r="I1" s="199" t="s">
        <v>399</v>
      </c>
      <c r="J1" s="199" t="s">
        <v>400</v>
      </c>
      <c r="K1" s="62"/>
      <c r="L1" s="62"/>
      <c r="M1" s="62"/>
      <c r="N1" s="62"/>
      <c r="O1" s="62"/>
    </row>
    <row r="2" spans="1:184">
      <c r="A2" s="60" t="s">
        <v>202</v>
      </c>
      <c r="B2" s="61"/>
      <c r="C2" s="201"/>
      <c r="D2" s="202"/>
      <c r="E2" s="203" t="s">
        <v>1027</v>
      </c>
      <c r="F2" s="204"/>
      <c r="G2" s="205"/>
      <c r="H2" s="206"/>
      <c r="I2" s="204"/>
      <c r="J2" s="90"/>
    </row>
    <row r="3" spans="1:184">
      <c r="A3" s="60" t="s">
        <v>396</v>
      </c>
      <c r="B3" s="64" t="s">
        <v>401</v>
      </c>
      <c r="C3" s="199" t="s">
        <v>402</v>
      </c>
      <c r="D3" s="199" t="s">
        <v>403</v>
      </c>
      <c r="E3" s="199" t="s">
        <v>10</v>
      </c>
      <c r="F3" s="199" t="s">
        <v>11</v>
      </c>
      <c r="G3" s="199" t="s">
        <v>12</v>
      </c>
      <c r="H3" s="199" t="s">
        <v>13</v>
      </c>
      <c r="I3" s="199" t="s">
        <v>14</v>
      </c>
      <c r="J3" s="199" t="s">
        <v>15</v>
      </c>
      <c r="K3" s="199" t="s">
        <v>16</v>
      </c>
      <c r="L3" s="199" t="s">
        <v>17</v>
      </c>
      <c r="M3" s="199" t="s">
        <v>18</v>
      </c>
      <c r="N3" s="199" t="s">
        <v>19</v>
      </c>
      <c r="O3" s="207" t="s">
        <v>404</v>
      </c>
      <c r="P3" s="199" t="s">
        <v>949</v>
      </c>
      <c r="V3" s="62"/>
      <c r="W3" s="62"/>
      <c r="X3" s="62"/>
      <c r="Y3" s="62"/>
      <c r="Z3" s="62"/>
    </row>
    <row r="4" spans="1:184">
      <c r="A4" s="60" t="s">
        <v>405</v>
      </c>
      <c r="B4" s="65"/>
      <c r="C4" s="63"/>
      <c r="D4" s="66"/>
      <c r="E4" s="66"/>
      <c r="F4" s="67"/>
      <c r="G4" s="66"/>
      <c r="H4" s="66"/>
      <c r="I4" s="66"/>
      <c r="J4" s="66"/>
      <c r="K4" s="63"/>
      <c r="L4" s="66"/>
      <c r="M4" s="66"/>
      <c r="N4" s="66"/>
      <c r="O4" s="66"/>
      <c r="P4" s="208"/>
      <c r="V4" s="68"/>
      <c r="W4" s="68"/>
      <c r="X4" s="68"/>
      <c r="Y4" s="68"/>
      <c r="Z4" s="68"/>
    </row>
    <row r="5" spans="1:184">
      <c r="A5" s="60" t="s">
        <v>396</v>
      </c>
      <c r="B5" s="64" t="s">
        <v>5</v>
      </c>
      <c r="C5" s="199" t="s">
        <v>406</v>
      </c>
      <c r="D5" s="199" t="s">
        <v>407</v>
      </c>
      <c r="E5" s="199" t="s">
        <v>10</v>
      </c>
      <c r="F5" s="199" t="s">
        <v>11</v>
      </c>
      <c r="G5" s="199" t="s">
        <v>12</v>
      </c>
      <c r="H5" s="199" t="s">
        <v>13</v>
      </c>
      <c r="I5" s="199" t="s">
        <v>14</v>
      </c>
      <c r="J5" s="199" t="s">
        <v>15</v>
      </c>
      <c r="K5" s="199" t="s">
        <v>16</v>
      </c>
      <c r="L5" s="199" t="s">
        <v>17</v>
      </c>
      <c r="M5" s="199" t="s">
        <v>18</v>
      </c>
      <c r="N5" s="199" t="s">
        <v>19</v>
      </c>
      <c r="O5" s="207" t="s">
        <v>404</v>
      </c>
      <c r="P5" s="199" t="s">
        <v>949</v>
      </c>
      <c r="V5" s="68"/>
      <c r="W5" s="68"/>
      <c r="X5" s="68"/>
      <c r="Y5" s="68"/>
      <c r="Z5" s="68"/>
    </row>
    <row r="6" spans="1:184">
      <c r="A6" s="60" t="s">
        <v>408</v>
      </c>
      <c r="B6" s="209"/>
      <c r="C6" s="66"/>
      <c r="D6" s="66"/>
      <c r="E6" s="66"/>
      <c r="F6" s="67"/>
      <c r="G6" s="66"/>
      <c r="H6" s="66"/>
      <c r="I6" s="66"/>
      <c r="J6" s="66"/>
      <c r="K6" s="63"/>
      <c r="L6" s="66"/>
      <c r="M6" s="66"/>
      <c r="N6" s="66"/>
      <c r="O6" s="66"/>
      <c r="P6" s="208"/>
      <c r="V6" s="68"/>
      <c r="W6" s="68"/>
      <c r="X6" s="210"/>
      <c r="Y6" s="210"/>
      <c r="Z6" s="211"/>
      <c r="AA6" s="211"/>
      <c r="AB6" s="211"/>
      <c r="AC6" s="211"/>
      <c r="AD6" s="211"/>
      <c r="AE6" s="211"/>
      <c r="AF6" s="211"/>
      <c r="AG6" s="211"/>
      <c r="AH6" s="211"/>
      <c r="AI6" s="69"/>
    </row>
    <row r="7" spans="1:184">
      <c r="A7" s="60" t="s">
        <v>396</v>
      </c>
      <c r="B7" s="70" t="s">
        <v>409</v>
      </c>
      <c r="C7" s="199" t="s">
        <v>410</v>
      </c>
      <c r="D7" s="199" t="s">
        <v>411</v>
      </c>
      <c r="E7" s="199" t="s">
        <v>412</v>
      </c>
      <c r="F7" s="199" t="s">
        <v>413</v>
      </c>
      <c r="G7" s="199" t="s">
        <v>122</v>
      </c>
      <c r="H7" s="199" t="s">
        <v>414</v>
      </c>
      <c r="I7" s="199" t="s">
        <v>942</v>
      </c>
      <c r="J7" s="227" t="s">
        <v>943</v>
      </c>
      <c r="K7" s="212"/>
      <c r="L7" s="213"/>
      <c r="M7" s="213"/>
      <c r="N7" s="212"/>
      <c r="O7" s="212"/>
      <c r="V7" s="68"/>
      <c r="W7" s="68"/>
      <c r="X7" s="71"/>
      <c r="Y7" s="71"/>
      <c r="Z7" s="71"/>
      <c r="AA7" s="71"/>
      <c r="AB7" s="71"/>
      <c r="AC7" s="71"/>
      <c r="AD7" s="71"/>
      <c r="AE7" s="71"/>
      <c r="AF7" s="71"/>
    </row>
    <row r="8" spans="1:184">
      <c r="A8" s="60" t="s">
        <v>415</v>
      </c>
      <c r="B8" s="70"/>
      <c r="C8" s="201"/>
      <c r="D8" s="201"/>
      <c r="E8" s="201"/>
      <c r="F8" s="201"/>
      <c r="G8" s="201"/>
      <c r="H8" s="201"/>
      <c r="I8" s="198"/>
      <c r="J8" s="226"/>
      <c r="V8" s="68"/>
      <c r="W8" s="68"/>
    </row>
    <row r="9" spans="1:184">
      <c r="A9" s="60" t="s">
        <v>416</v>
      </c>
      <c r="B9" s="72" t="s">
        <v>22</v>
      </c>
      <c r="C9" s="73"/>
      <c r="D9" s="111"/>
      <c r="E9" s="111"/>
      <c r="F9" s="112"/>
      <c r="V9" s="68"/>
      <c r="W9" s="68"/>
      <c r="X9" s="74"/>
      <c r="Y9" s="74"/>
      <c r="Z9" s="74"/>
      <c r="AA9" s="74"/>
      <c r="AB9" s="74"/>
      <c r="AC9" s="74"/>
      <c r="AD9" s="74"/>
      <c r="AE9" s="74"/>
      <c r="AF9" s="74"/>
    </row>
    <row r="10" spans="1:184">
      <c r="A10" s="60" t="s">
        <v>396</v>
      </c>
      <c r="B10" s="72" t="s">
        <v>29</v>
      </c>
      <c r="C10" s="199" t="s">
        <v>417</v>
      </c>
      <c r="D10" s="199" t="s">
        <v>418</v>
      </c>
      <c r="E10" s="199" t="s">
        <v>419</v>
      </c>
      <c r="F10" s="199" t="s">
        <v>37</v>
      </c>
      <c r="G10" s="199" t="s">
        <v>38</v>
      </c>
      <c r="H10" s="199" t="s">
        <v>40</v>
      </c>
      <c r="I10" s="199" t="s">
        <v>42</v>
      </c>
      <c r="J10" s="199" t="s">
        <v>45</v>
      </c>
      <c r="K10" s="199" t="s">
        <v>420</v>
      </c>
      <c r="L10" s="199" t="s">
        <v>421</v>
      </c>
      <c r="M10" s="199" t="s">
        <v>51</v>
      </c>
      <c r="N10" s="199" t="s">
        <v>422</v>
      </c>
      <c r="AB10" s="68"/>
      <c r="AC10" s="68"/>
      <c r="AD10" s="68"/>
      <c r="AE10" s="68"/>
      <c r="AF10" s="68"/>
    </row>
    <row r="11" spans="1:184">
      <c r="A11" s="60" t="s">
        <v>423</v>
      </c>
      <c r="B11" s="72"/>
      <c r="C11" s="201"/>
      <c r="D11" s="201"/>
      <c r="E11" s="201"/>
      <c r="F11" s="201"/>
      <c r="G11" s="214"/>
      <c r="H11" s="201"/>
      <c r="I11" s="201"/>
      <c r="J11" s="201"/>
      <c r="K11" s="201"/>
      <c r="L11" s="201"/>
      <c r="M11" s="201"/>
      <c r="N11" s="215"/>
      <c r="AB11" s="68"/>
      <c r="AC11" s="68"/>
      <c r="AD11" s="68"/>
      <c r="AE11" s="68"/>
      <c r="AF11" s="68"/>
    </row>
    <row r="12" spans="1:184">
      <c r="A12" s="60" t="s">
        <v>396</v>
      </c>
      <c r="B12" s="70" t="s">
        <v>34</v>
      </c>
      <c r="C12" s="199" t="s">
        <v>424</v>
      </c>
      <c r="D12" s="199" t="s">
        <v>425</v>
      </c>
      <c r="E12" s="199" t="s">
        <v>426</v>
      </c>
      <c r="F12" s="199" t="s">
        <v>427</v>
      </c>
      <c r="G12" s="199" t="s">
        <v>428</v>
      </c>
      <c r="H12" s="199" t="s">
        <v>429</v>
      </c>
      <c r="I12" s="199" t="s">
        <v>430</v>
      </c>
      <c r="J12" s="199" t="s">
        <v>431</v>
      </c>
      <c r="K12" s="199" t="s">
        <v>432</v>
      </c>
      <c r="L12" s="199" t="s">
        <v>433</v>
      </c>
      <c r="M12" s="199" t="s">
        <v>434</v>
      </c>
      <c r="N12" s="199" t="s">
        <v>435</v>
      </c>
      <c r="O12" s="199" t="s">
        <v>436</v>
      </c>
      <c r="P12" s="199" t="s">
        <v>437</v>
      </c>
    </row>
    <row r="13" spans="1:184" s="69" customFormat="1">
      <c r="A13" s="76" t="s">
        <v>438</v>
      </c>
      <c r="B13" s="77"/>
      <c r="C13" s="201"/>
      <c r="D13" s="201"/>
      <c r="E13" s="201"/>
      <c r="F13" s="201"/>
      <c r="G13" s="201"/>
      <c r="H13" s="201"/>
      <c r="I13" s="201"/>
      <c r="J13" s="201"/>
      <c r="K13" s="201"/>
      <c r="L13" s="201"/>
      <c r="M13" s="201"/>
      <c r="N13" s="201"/>
      <c r="O13" s="201"/>
      <c r="P13" s="201"/>
    </row>
    <row r="14" spans="1:184" s="69" customFormat="1" ht="60">
      <c r="A14" s="76" t="s">
        <v>396</v>
      </c>
      <c r="B14" s="78" t="s">
        <v>439</v>
      </c>
      <c r="C14" s="145" t="s">
        <v>61</v>
      </c>
      <c r="D14" s="145" t="s">
        <v>62</v>
      </c>
      <c r="E14" s="145" t="s">
        <v>63</v>
      </c>
      <c r="F14" s="145" t="s">
        <v>64</v>
      </c>
      <c r="G14" s="146" t="s">
        <v>65</v>
      </c>
      <c r="H14" s="145" t="s">
        <v>66</v>
      </c>
      <c r="I14" s="145" t="s">
        <v>67</v>
      </c>
      <c r="J14" s="145" t="s">
        <v>68</v>
      </c>
      <c r="K14" s="145" t="s">
        <v>69</v>
      </c>
      <c r="L14" s="145" t="s">
        <v>70</v>
      </c>
      <c r="M14" s="145" t="s">
        <v>71</v>
      </c>
      <c r="N14" s="145" t="s">
        <v>72</v>
      </c>
      <c r="O14" s="145" t="s">
        <v>440</v>
      </c>
      <c r="P14" s="147" t="s">
        <v>74</v>
      </c>
      <c r="Q14" s="145" t="s">
        <v>75</v>
      </c>
      <c r="R14" s="145" t="s">
        <v>76</v>
      </c>
      <c r="S14" s="145" t="s">
        <v>77</v>
      </c>
      <c r="T14" s="145" t="s">
        <v>78</v>
      </c>
      <c r="U14" s="145" t="s">
        <v>79</v>
      </c>
      <c r="V14" s="145" t="s">
        <v>80</v>
      </c>
      <c r="W14" s="145" t="s">
        <v>81</v>
      </c>
      <c r="X14" s="145" t="s">
        <v>82</v>
      </c>
      <c r="Y14" s="148" t="s">
        <v>83</v>
      </c>
      <c r="Z14" s="149" t="s">
        <v>84</v>
      </c>
      <c r="AA14" s="79" t="s">
        <v>441</v>
      </c>
      <c r="AB14" s="79" t="s">
        <v>442</v>
      </c>
      <c r="AC14" s="79" t="s">
        <v>443</v>
      </c>
      <c r="AD14" s="79" t="s">
        <v>444</v>
      </c>
      <c r="AE14" s="79" t="s">
        <v>445</v>
      </c>
      <c r="AF14" s="79" t="s">
        <v>446</v>
      </c>
      <c r="AG14" s="79" t="s">
        <v>447</v>
      </c>
      <c r="AH14" s="79" t="s">
        <v>448</v>
      </c>
      <c r="AI14" s="79" t="s">
        <v>449</v>
      </c>
      <c r="AJ14" s="79" t="s">
        <v>450</v>
      </c>
      <c r="AK14" s="80" t="s">
        <v>451</v>
      </c>
      <c r="AL14" s="81" t="s">
        <v>452</v>
      </c>
      <c r="AM14" s="81" t="s">
        <v>453</v>
      </c>
      <c r="AN14" s="81" t="s">
        <v>454</v>
      </c>
      <c r="AO14" s="81" t="s">
        <v>455</v>
      </c>
      <c r="AP14" s="81" t="s">
        <v>456</v>
      </c>
      <c r="AQ14" s="81" t="s">
        <v>457</v>
      </c>
      <c r="AR14" s="81" t="s">
        <v>458</v>
      </c>
      <c r="AS14" s="81" t="s">
        <v>459</v>
      </c>
      <c r="AT14" s="81" t="s">
        <v>460</v>
      </c>
      <c r="AU14" s="82" t="s">
        <v>461</v>
      </c>
      <c r="AV14" s="82" t="s">
        <v>462</v>
      </c>
      <c r="AW14" s="82" t="s">
        <v>463</v>
      </c>
      <c r="AX14" s="82" t="s">
        <v>464</v>
      </c>
      <c r="AY14" s="82" t="s">
        <v>465</v>
      </c>
      <c r="AZ14" s="83" t="s">
        <v>466</v>
      </c>
      <c r="BA14" s="83" t="s">
        <v>467</v>
      </c>
      <c r="BB14" s="83" t="s">
        <v>468</v>
      </c>
      <c r="BC14" s="83" t="s">
        <v>469</v>
      </c>
      <c r="BD14" s="83" t="s">
        <v>470</v>
      </c>
      <c r="BE14" s="83" t="s">
        <v>471</v>
      </c>
      <c r="BF14" s="83" t="s">
        <v>472</v>
      </c>
      <c r="BG14" s="83" t="s">
        <v>473</v>
      </c>
      <c r="BH14" s="84" t="s">
        <v>474</v>
      </c>
      <c r="BI14" s="85" t="s">
        <v>475</v>
      </c>
      <c r="BJ14" s="85" t="s">
        <v>476</v>
      </c>
      <c r="BK14" s="85" t="s">
        <v>477</v>
      </c>
      <c r="BL14" s="216" t="s">
        <v>478</v>
      </c>
      <c r="BM14" s="216" t="s">
        <v>479</v>
      </c>
      <c r="BN14" s="217" t="s">
        <v>480</v>
      </c>
      <c r="BO14" s="216" t="s">
        <v>481</v>
      </c>
      <c r="BP14" s="216" t="s">
        <v>482</v>
      </c>
      <c r="BQ14" s="216" t="s">
        <v>483</v>
      </c>
      <c r="BR14" s="218" t="s">
        <v>484</v>
      </c>
      <c r="BS14" s="218" t="s">
        <v>485</v>
      </c>
      <c r="BT14" s="218" t="s">
        <v>486</v>
      </c>
      <c r="BU14" s="218" t="s">
        <v>487</v>
      </c>
      <c r="BV14" s="218" t="s">
        <v>488</v>
      </c>
      <c r="BW14" s="218" t="s">
        <v>489</v>
      </c>
      <c r="BX14" s="218" t="s">
        <v>490</v>
      </c>
      <c r="BY14" s="219" t="s">
        <v>491</v>
      </c>
      <c r="BZ14" s="219" t="s">
        <v>492</v>
      </c>
      <c r="CA14" s="219" t="s">
        <v>493</v>
      </c>
      <c r="CB14" s="219" t="s">
        <v>494</v>
      </c>
      <c r="CC14" s="219" t="s">
        <v>495</v>
      </c>
      <c r="CD14" s="219" t="s">
        <v>496</v>
      </c>
      <c r="CE14" s="219" t="s">
        <v>497</v>
      </c>
      <c r="CF14" s="219" t="s">
        <v>498</v>
      </c>
      <c r="CG14" s="86" t="s">
        <v>499</v>
      </c>
      <c r="CH14" s="86" t="s">
        <v>500</v>
      </c>
      <c r="CI14" s="86" t="s">
        <v>501</v>
      </c>
      <c r="CJ14" s="86" t="s">
        <v>502</v>
      </c>
      <c r="CK14" s="86" t="s">
        <v>503</v>
      </c>
      <c r="CL14" s="86" t="s">
        <v>504</v>
      </c>
      <c r="CM14" s="86" t="s">
        <v>505</v>
      </c>
      <c r="CN14" s="86" t="s">
        <v>506</v>
      </c>
      <c r="CO14" s="86" t="s">
        <v>507</v>
      </c>
      <c r="CP14" s="86" t="s">
        <v>508</v>
      </c>
      <c r="CQ14" s="86" t="s">
        <v>509</v>
      </c>
      <c r="CR14" s="86" t="s">
        <v>510</v>
      </c>
      <c r="CS14" s="86" t="s">
        <v>511</v>
      </c>
      <c r="CT14" s="86" t="s">
        <v>512</v>
      </c>
      <c r="CU14" s="86" t="s">
        <v>513</v>
      </c>
      <c r="CV14" s="86" t="s">
        <v>514</v>
      </c>
      <c r="CW14" s="86" t="s">
        <v>515</v>
      </c>
      <c r="CX14" s="86" t="s">
        <v>516</v>
      </c>
      <c r="CY14" s="86" t="s">
        <v>517</v>
      </c>
      <c r="CZ14" s="86" t="s">
        <v>518</v>
      </c>
      <c r="DA14" s="86" t="s">
        <v>519</v>
      </c>
      <c r="DB14" s="86" t="s">
        <v>520</v>
      </c>
      <c r="DC14" s="86" t="s">
        <v>521</v>
      </c>
      <c r="DD14" s="86" t="s">
        <v>522</v>
      </c>
      <c r="DE14" s="86" t="s">
        <v>523</v>
      </c>
      <c r="DF14" s="86" t="s">
        <v>524</v>
      </c>
      <c r="DG14" s="86" t="s">
        <v>525</v>
      </c>
      <c r="DH14" s="86" t="s">
        <v>526</v>
      </c>
      <c r="DI14" s="86" t="s">
        <v>527</v>
      </c>
      <c r="DJ14" s="86" t="s">
        <v>528</v>
      </c>
      <c r="DK14" s="86" t="s">
        <v>529</v>
      </c>
      <c r="DL14" s="86" t="s">
        <v>530</v>
      </c>
      <c r="DM14" s="86" t="s">
        <v>531</v>
      </c>
      <c r="DN14" s="86" t="s">
        <v>532</v>
      </c>
      <c r="DO14" s="87" t="s">
        <v>533</v>
      </c>
      <c r="DP14" s="87" t="s">
        <v>534</v>
      </c>
      <c r="DQ14" s="87" t="s">
        <v>535</v>
      </c>
      <c r="DR14" s="87" t="s">
        <v>536</v>
      </c>
      <c r="DS14" s="87" t="s">
        <v>537</v>
      </c>
      <c r="DT14" s="87" t="s">
        <v>538</v>
      </c>
      <c r="DU14" s="87" t="s">
        <v>539</v>
      </c>
      <c r="DV14" s="87" t="s">
        <v>540</v>
      </c>
      <c r="DW14" s="87" t="s">
        <v>541</v>
      </c>
      <c r="DX14" s="87" t="s">
        <v>542</v>
      </c>
      <c r="DY14" s="87" t="s">
        <v>543</v>
      </c>
      <c r="DZ14" s="87" t="s">
        <v>544</v>
      </c>
      <c r="EA14" s="87" t="s">
        <v>533</v>
      </c>
      <c r="EB14" s="87" t="s">
        <v>545</v>
      </c>
      <c r="EC14" s="87" t="s">
        <v>546</v>
      </c>
      <c r="ED14" s="87" t="s">
        <v>547</v>
      </c>
      <c r="EE14" s="87" t="s">
        <v>548</v>
      </c>
      <c r="EF14" s="87" t="s">
        <v>549</v>
      </c>
      <c r="EG14" s="87" t="s">
        <v>550</v>
      </c>
      <c r="EH14" s="87" t="s">
        <v>551</v>
      </c>
      <c r="EI14" s="87" t="s">
        <v>552</v>
      </c>
      <c r="EJ14" s="87" t="s">
        <v>553</v>
      </c>
      <c r="EK14" s="87" t="s">
        <v>554</v>
      </c>
      <c r="EL14" s="87" t="s">
        <v>555</v>
      </c>
      <c r="EM14" s="87" t="s">
        <v>556</v>
      </c>
      <c r="EN14" s="87" t="s">
        <v>557</v>
      </c>
      <c r="EO14" s="87" t="s">
        <v>558</v>
      </c>
      <c r="EP14" s="87" t="s">
        <v>559</v>
      </c>
      <c r="EQ14" s="87" t="s">
        <v>560</v>
      </c>
      <c r="ER14" s="87" t="s">
        <v>561</v>
      </c>
      <c r="ES14" s="87" t="s">
        <v>562</v>
      </c>
      <c r="ET14" s="87" t="s">
        <v>563</v>
      </c>
      <c r="EU14" s="87" t="s">
        <v>564</v>
      </c>
      <c r="EV14" s="87" t="s">
        <v>565</v>
      </c>
      <c r="EW14" s="87" t="s">
        <v>566</v>
      </c>
      <c r="EX14" s="87" t="s">
        <v>567</v>
      </c>
      <c r="EY14" s="88" t="s">
        <v>568</v>
      </c>
      <c r="EZ14" s="88" t="s">
        <v>569</v>
      </c>
      <c r="FA14" s="88" t="s">
        <v>570</v>
      </c>
      <c r="FB14" s="89" t="s">
        <v>571</v>
      </c>
      <c r="FC14" s="89" t="s">
        <v>572</v>
      </c>
      <c r="FD14" s="88" t="s">
        <v>573</v>
      </c>
      <c r="FE14" s="88" t="s">
        <v>574</v>
      </c>
      <c r="FF14" s="88" t="s">
        <v>575</v>
      </c>
      <c r="FG14" s="89" t="s">
        <v>576</v>
      </c>
      <c r="FH14" s="89" t="s">
        <v>577</v>
      </c>
      <c r="FI14" s="88" t="s">
        <v>578</v>
      </c>
      <c r="FJ14" s="88" t="s">
        <v>579</v>
      </c>
      <c r="FK14" s="88" t="s">
        <v>580</v>
      </c>
      <c r="FL14" s="89" t="s">
        <v>581</v>
      </c>
      <c r="FM14" s="89" t="s">
        <v>582</v>
      </c>
      <c r="FN14" s="88" t="s">
        <v>583</v>
      </c>
      <c r="FO14" s="88" t="s">
        <v>584</v>
      </c>
      <c r="FP14" s="88" t="s">
        <v>585</v>
      </c>
      <c r="FQ14" s="89" t="s">
        <v>586</v>
      </c>
      <c r="FR14" s="89" t="s">
        <v>587</v>
      </c>
      <c r="FS14" s="88" t="s">
        <v>588</v>
      </c>
      <c r="FT14" s="88" t="s">
        <v>589</v>
      </c>
      <c r="FU14" s="88" t="s">
        <v>590</v>
      </c>
      <c r="FV14" s="89" t="s">
        <v>591</v>
      </c>
      <c r="FW14" s="89" t="s">
        <v>592</v>
      </c>
      <c r="FX14" s="88" t="s">
        <v>593</v>
      </c>
      <c r="FY14" s="88" t="s">
        <v>594</v>
      </c>
      <c r="FZ14" s="88" t="s">
        <v>595</v>
      </c>
      <c r="GA14" s="88" t="s">
        <v>596</v>
      </c>
      <c r="GB14" s="88" t="s">
        <v>597</v>
      </c>
    </row>
    <row r="15" spans="1:184">
      <c r="A15" s="60" t="s">
        <v>218</v>
      </c>
      <c r="B15" s="75"/>
      <c r="C15" s="201"/>
      <c r="D15" s="201"/>
      <c r="E15" s="201"/>
      <c r="F15" s="201"/>
      <c r="G15" s="201"/>
      <c r="H15" s="201"/>
      <c r="I15" s="201"/>
      <c r="J15" s="201"/>
      <c r="K15" s="201"/>
      <c r="L15" s="201"/>
      <c r="M15" s="201"/>
      <c r="N15" s="201"/>
      <c r="O15" s="201"/>
      <c r="P15" s="201"/>
      <c r="Q15" s="201"/>
      <c r="R15" s="201"/>
      <c r="S15" s="201"/>
      <c r="T15" s="201"/>
      <c r="U15" s="201"/>
      <c r="V15" s="201"/>
      <c r="W15" s="201"/>
      <c r="X15" s="201"/>
      <c r="Y15" s="201"/>
      <c r="Z15" s="201"/>
      <c r="AA15" s="201"/>
      <c r="AB15" s="201"/>
      <c r="AC15" s="201"/>
      <c r="AD15" s="201"/>
      <c r="AE15" s="201"/>
      <c r="AF15" s="201"/>
      <c r="AG15" s="201"/>
      <c r="AH15" s="201"/>
      <c r="AI15" s="201"/>
      <c r="AJ15" s="201"/>
      <c r="AK15" s="201">
        <v>1</v>
      </c>
      <c r="AL15" s="201">
        <v>31</v>
      </c>
      <c r="AM15" s="201" t="s">
        <v>598</v>
      </c>
      <c r="AN15" s="201">
        <v>100</v>
      </c>
      <c r="AO15" s="201">
        <v>10</v>
      </c>
      <c r="AP15" s="201">
        <v>11</v>
      </c>
      <c r="AQ15" s="201" t="s">
        <v>599</v>
      </c>
      <c r="AR15" s="201" t="s">
        <v>600</v>
      </c>
      <c r="AS15" s="201">
        <v>1234.5999999999999</v>
      </c>
      <c r="AT15" s="201" t="s">
        <v>601</v>
      </c>
      <c r="AU15" s="201" t="s">
        <v>202</v>
      </c>
      <c r="AV15" s="201">
        <v>110</v>
      </c>
      <c r="AW15" s="201" t="s">
        <v>602</v>
      </c>
      <c r="AX15" s="201">
        <v>0</v>
      </c>
      <c r="AY15" s="201" t="s">
        <v>603</v>
      </c>
      <c r="AZ15" s="201" t="s">
        <v>604</v>
      </c>
      <c r="BA15" s="201" t="s">
        <v>605</v>
      </c>
      <c r="BB15" s="201" t="s">
        <v>606</v>
      </c>
      <c r="BC15" s="201">
        <v>10001.1</v>
      </c>
      <c r="BD15" s="201">
        <v>9101.2000000000007</v>
      </c>
      <c r="BE15" s="201">
        <v>50101</v>
      </c>
      <c r="BF15" s="201">
        <v>60101</v>
      </c>
      <c r="BG15" s="201">
        <v>22210</v>
      </c>
      <c r="BH15" s="201" t="s">
        <v>607</v>
      </c>
      <c r="BI15" s="201">
        <v>0</v>
      </c>
      <c r="BJ15" s="201">
        <v>3</v>
      </c>
      <c r="BK15" s="201">
        <v>1</v>
      </c>
      <c r="BL15" s="201">
        <v>30</v>
      </c>
      <c r="BM15" s="201">
        <v>0</v>
      </c>
      <c r="BN15" s="201" t="s">
        <v>608</v>
      </c>
      <c r="BO15" s="201" t="s">
        <v>609</v>
      </c>
      <c r="BP15" s="201">
        <v>1</v>
      </c>
      <c r="BQ15" s="201">
        <v>10</v>
      </c>
      <c r="BR15" s="201">
        <v>9991</v>
      </c>
      <c r="BS15" s="201">
        <v>8881</v>
      </c>
      <c r="BT15" s="201">
        <v>7771</v>
      </c>
      <c r="BU15" s="201">
        <v>6661</v>
      </c>
      <c r="BV15" s="201">
        <v>1300</v>
      </c>
      <c r="BW15" s="201">
        <v>5.0999999999999996</v>
      </c>
      <c r="BX15" s="201">
        <v>45043</v>
      </c>
      <c r="BY15" s="201" t="s">
        <v>610</v>
      </c>
      <c r="BZ15" s="201" t="s">
        <v>611</v>
      </c>
      <c r="CA15" s="201" t="s">
        <v>612</v>
      </c>
      <c r="CB15" s="201" t="s">
        <v>613</v>
      </c>
      <c r="CC15" s="201">
        <v>11</v>
      </c>
      <c r="CD15" s="201">
        <v>101</v>
      </c>
      <c r="CE15" s="201">
        <v>1001</v>
      </c>
      <c r="CF15" s="201">
        <v>10001</v>
      </c>
      <c r="CG15" s="201">
        <v>31</v>
      </c>
      <c r="CH15" s="201">
        <v>311</v>
      </c>
      <c r="CI15" s="201">
        <v>321</v>
      </c>
      <c r="CJ15" s="201">
        <v>331</v>
      </c>
      <c r="CK15" s="201">
        <v>341</v>
      </c>
      <c r="CL15" s="201">
        <v>44927</v>
      </c>
      <c r="CM15" s="201">
        <v>44928</v>
      </c>
      <c r="CN15" s="201">
        <v>44929</v>
      </c>
      <c r="CO15" s="201">
        <v>44930</v>
      </c>
      <c r="CP15" s="201">
        <v>10001</v>
      </c>
      <c r="CQ15" s="201">
        <v>50</v>
      </c>
      <c r="CR15" s="201" t="s">
        <v>601</v>
      </c>
      <c r="CS15" s="201" t="s">
        <v>374</v>
      </c>
      <c r="CT15" s="201">
        <v>5</v>
      </c>
      <c r="CU15" s="201">
        <v>6</v>
      </c>
      <c r="CV15" s="201" t="s">
        <v>601</v>
      </c>
      <c r="CW15" s="201">
        <v>3</v>
      </c>
      <c r="CX15" s="201">
        <v>500</v>
      </c>
      <c r="CY15" s="201" t="s">
        <v>614</v>
      </c>
      <c r="CZ15" s="201">
        <v>200</v>
      </c>
      <c r="DA15" s="201">
        <v>45078</v>
      </c>
      <c r="DB15" s="201" t="s">
        <v>602</v>
      </c>
      <c r="DC15" s="201">
        <v>1</v>
      </c>
      <c r="DD15" s="201">
        <v>2</v>
      </c>
      <c r="DE15" s="201" t="s">
        <v>615</v>
      </c>
      <c r="DF15" s="201" t="s">
        <v>601</v>
      </c>
      <c r="DG15" s="201">
        <v>11</v>
      </c>
      <c r="DH15" s="201" t="s">
        <v>601</v>
      </c>
      <c r="DI15" s="201">
        <v>1.1000000000000001</v>
      </c>
      <c r="DJ15" s="201" t="s">
        <v>602</v>
      </c>
      <c r="DK15" s="201">
        <v>10</v>
      </c>
      <c r="DL15" s="201" t="s">
        <v>601</v>
      </c>
      <c r="DM15" s="201">
        <v>15</v>
      </c>
      <c r="DN15" s="201">
        <v>25</v>
      </c>
      <c r="DO15" s="201">
        <v>1</v>
      </c>
      <c r="DP15" s="201">
        <v>3</v>
      </c>
      <c r="DQ15" s="201">
        <v>44986</v>
      </c>
      <c r="DR15" s="201">
        <v>45047</v>
      </c>
      <c r="DS15" s="201">
        <v>2</v>
      </c>
      <c r="DT15" s="201">
        <v>4</v>
      </c>
      <c r="DU15" s="201" t="s">
        <v>616</v>
      </c>
      <c r="DV15" s="201">
        <v>5</v>
      </c>
      <c r="DW15" s="201" t="s">
        <v>601</v>
      </c>
      <c r="DX15" s="201" t="s">
        <v>602</v>
      </c>
      <c r="DY15" s="201">
        <v>35</v>
      </c>
      <c r="DZ15" s="201">
        <v>7</v>
      </c>
      <c r="EA15" s="201">
        <v>8</v>
      </c>
      <c r="EB15" s="201">
        <v>2023</v>
      </c>
      <c r="EC15" s="201">
        <v>600</v>
      </c>
      <c r="ED15" s="201">
        <v>700</v>
      </c>
      <c r="EE15" s="201">
        <v>800</v>
      </c>
      <c r="EF15" s="201" t="s">
        <v>416</v>
      </c>
      <c r="EG15" s="201" t="s">
        <v>617</v>
      </c>
      <c r="EH15" s="201">
        <v>9</v>
      </c>
      <c r="EI15" s="201">
        <v>1</v>
      </c>
      <c r="EJ15" s="201">
        <v>99</v>
      </c>
      <c r="EK15" s="201">
        <v>1</v>
      </c>
      <c r="EL15" s="201" t="s">
        <v>601</v>
      </c>
      <c r="EM15" s="201">
        <v>5</v>
      </c>
      <c r="EN15" s="201">
        <v>13</v>
      </c>
      <c r="EO15" s="201">
        <v>70.2</v>
      </c>
      <c r="EP15" s="201">
        <v>1</v>
      </c>
      <c r="EQ15" s="201">
        <v>1</v>
      </c>
      <c r="ER15" s="201" t="s">
        <v>618</v>
      </c>
      <c r="ES15" s="201">
        <v>44986</v>
      </c>
      <c r="ET15" s="201">
        <v>15</v>
      </c>
      <c r="EU15" s="201">
        <v>10</v>
      </c>
      <c r="EV15" s="201" t="s">
        <v>619</v>
      </c>
      <c r="EW15" s="201" t="s">
        <v>601</v>
      </c>
      <c r="EX15" s="201" t="s">
        <v>620</v>
      </c>
      <c r="EY15" s="201">
        <v>1</v>
      </c>
      <c r="EZ15" s="201">
        <v>44987</v>
      </c>
      <c r="FA15" s="201">
        <v>100</v>
      </c>
      <c r="FB15" s="201">
        <v>2.2000000000000002</v>
      </c>
      <c r="FC15" s="201" t="s">
        <v>601</v>
      </c>
      <c r="FD15" s="201">
        <v>1</v>
      </c>
      <c r="FE15" s="201">
        <v>44987</v>
      </c>
      <c r="FF15" s="201">
        <v>100</v>
      </c>
      <c r="FG15" s="201"/>
      <c r="FH15" s="201"/>
      <c r="FI15" s="201">
        <v>1</v>
      </c>
      <c r="FJ15" s="201">
        <v>44987</v>
      </c>
      <c r="FK15" s="201">
        <v>100</v>
      </c>
      <c r="FL15" s="201"/>
      <c r="FM15" s="201"/>
      <c r="FN15" s="201">
        <v>1</v>
      </c>
      <c r="FO15" s="201">
        <v>44987</v>
      </c>
      <c r="FP15" s="201">
        <v>100</v>
      </c>
      <c r="FQ15" s="201"/>
      <c r="FR15" s="201"/>
      <c r="FS15" s="201">
        <v>1</v>
      </c>
      <c r="FT15" s="201">
        <v>44987</v>
      </c>
      <c r="FU15" s="201">
        <v>100</v>
      </c>
      <c r="FV15" s="201"/>
      <c r="FW15" s="201"/>
      <c r="FX15" s="201">
        <v>1</v>
      </c>
      <c r="FY15" s="201">
        <v>2</v>
      </c>
      <c r="FZ15" s="201">
        <v>1</v>
      </c>
      <c r="GA15" s="201">
        <v>2</v>
      </c>
      <c r="GB15" s="201">
        <v>5.0999999999999996</v>
      </c>
    </row>
    <row r="16" spans="1:184" s="99" customFormat="1" ht="48" customHeight="1">
      <c r="A16" s="91" t="s">
        <v>396</v>
      </c>
      <c r="B16" s="92" t="s">
        <v>621</v>
      </c>
      <c r="C16" s="92"/>
      <c r="D16" s="93" t="s">
        <v>622</v>
      </c>
      <c r="E16" s="92"/>
      <c r="F16" s="92" t="s">
        <v>623</v>
      </c>
      <c r="G16" s="93" t="s">
        <v>624</v>
      </c>
      <c r="H16" s="92"/>
      <c r="I16" s="92" t="s">
        <v>625</v>
      </c>
      <c r="J16" s="92" t="s">
        <v>626</v>
      </c>
      <c r="K16" s="92" t="s">
        <v>627</v>
      </c>
      <c r="L16" s="92"/>
      <c r="M16" s="201" t="s">
        <v>628</v>
      </c>
      <c r="N16" s="201"/>
      <c r="O16" s="201"/>
      <c r="P16" s="92"/>
      <c r="Q16" s="92"/>
      <c r="R16" s="92"/>
      <c r="S16" s="92"/>
      <c r="T16" s="92"/>
      <c r="U16" s="92"/>
      <c r="V16" s="92"/>
      <c r="W16" s="92"/>
      <c r="X16" s="92"/>
      <c r="Y16" s="92"/>
      <c r="Z16" s="94"/>
      <c r="AA16" s="92"/>
      <c r="AB16" s="92"/>
      <c r="AC16" s="92"/>
      <c r="AD16" s="92"/>
      <c r="AE16" s="92"/>
      <c r="AF16" s="92"/>
      <c r="AG16" s="92"/>
      <c r="AH16" s="92"/>
      <c r="AI16" s="92"/>
      <c r="AJ16" s="92"/>
      <c r="AK16" s="95" t="s">
        <v>629</v>
      </c>
      <c r="AL16" s="92" t="s">
        <v>630</v>
      </c>
      <c r="AM16" s="96"/>
      <c r="AN16" s="92" t="s">
        <v>631</v>
      </c>
      <c r="AO16" s="92"/>
      <c r="AP16" s="92" t="s">
        <v>632</v>
      </c>
      <c r="AQ16" s="92" t="s">
        <v>633</v>
      </c>
      <c r="AR16" s="92" t="s">
        <v>634</v>
      </c>
      <c r="AS16" s="92" t="s">
        <v>635</v>
      </c>
      <c r="AT16" s="92" t="s">
        <v>636</v>
      </c>
      <c r="AU16" s="97"/>
      <c r="AV16" s="92" t="s">
        <v>637</v>
      </c>
      <c r="AW16" s="92" t="s">
        <v>638</v>
      </c>
      <c r="AX16" s="92" t="s">
        <v>639</v>
      </c>
      <c r="AY16" s="92" t="s">
        <v>640</v>
      </c>
      <c r="AZ16" s="92" t="s">
        <v>641</v>
      </c>
      <c r="BA16" s="92" t="s">
        <v>642</v>
      </c>
      <c r="BB16" s="92" t="s">
        <v>643</v>
      </c>
      <c r="BC16" s="92" t="s">
        <v>644</v>
      </c>
      <c r="BD16" s="92" t="s">
        <v>645</v>
      </c>
      <c r="BE16" s="97" t="s">
        <v>646</v>
      </c>
      <c r="BF16" s="92" t="s">
        <v>647</v>
      </c>
      <c r="BG16" s="92" t="s">
        <v>648</v>
      </c>
      <c r="BH16" s="92" t="s">
        <v>649</v>
      </c>
      <c r="BI16" s="92" t="s">
        <v>650</v>
      </c>
      <c r="BJ16" s="92" t="s">
        <v>651</v>
      </c>
      <c r="BK16" s="92" t="s">
        <v>652</v>
      </c>
      <c r="BL16" s="92" t="s">
        <v>653</v>
      </c>
      <c r="BM16" s="92" t="s">
        <v>654</v>
      </c>
      <c r="BN16" s="92" t="s">
        <v>655</v>
      </c>
      <c r="BO16" s="92" t="s">
        <v>656</v>
      </c>
      <c r="BP16" s="92" t="s">
        <v>657</v>
      </c>
      <c r="BQ16" s="92" t="s">
        <v>658</v>
      </c>
      <c r="BR16" s="92" t="s">
        <v>659</v>
      </c>
      <c r="BS16" s="92" t="s">
        <v>660</v>
      </c>
      <c r="BT16" s="92" t="s">
        <v>661</v>
      </c>
      <c r="BU16" s="92" t="s">
        <v>662</v>
      </c>
      <c r="BV16" s="92" t="s">
        <v>663</v>
      </c>
      <c r="BW16" s="92" t="s">
        <v>664</v>
      </c>
      <c r="BX16" s="92" t="s">
        <v>665</v>
      </c>
      <c r="BY16" s="92" t="s">
        <v>666</v>
      </c>
      <c r="BZ16" s="92" t="s">
        <v>667</v>
      </c>
      <c r="CA16" s="92" t="s">
        <v>668</v>
      </c>
      <c r="CB16" s="92" t="s">
        <v>669</v>
      </c>
      <c r="CC16" s="92" t="s">
        <v>670</v>
      </c>
      <c r="CD16" s="92" t="s">
        <v>671</v>
      </c>
      <c r="CE16" s="92" t="s">
        <v>672</v>
      </c>
      <c r="CF16" s="92" t="s">
        <v>673</v>
      </c>
      <c r="CG16" s="92" t="s">
        <v>674</v>
      </c>
      <c r="CH16" s="92" t="s">
        <v>675</v>
      </c>
      <c r="CI16" s="92" t="s">
        <v>676</v>
      </c>
      <c r="CJ16" s="92" t="s">
        <v>677</v>
      </c>
      <c r="CK16" s="92" t="s">
        <v>678</v>
      </c>
      <c r="CL16" s="92" t="s">
        <v>679</v>
      </c>
      <c r="CM16" s="92" t="s">
        <v>680</v>
      </c>
      <c r="CN16" s="92" t="s">
        <v>681</v>
      </c>
      <c r="CO16" s="92" t="s">
        <v>682</v>
      </c>
      <c r="CP16" s="92" t="s">
        <v>683</v>
      </c>
      <c r="CQ16" s="92" t="s">
        <v>684</v>
      </c>
      <c r="CR16" s="92" t="s">
        <v>685</v>
      </c>
      <c r="CS16" s="92" t="s">
        <v>686</v>
      </c>
      <c r="CT16" s="92" t="s">
        <v>687</v>
      </c>
      <c r="CU16" s="92" t="s">
        <v>688</v>
      </c>
      <c r="CV16" s="92" t="s">
        <v>689</v>
      </c>
      <c r="CW16" s="92" t="s">
        <v>690</v>
      </c>
      <c r="CX16" s="92" t="s">
        <v>691</v>
      </c>
      <c r="CY16" s="92" t="s">
        <v>692</v>
      </c>
      <c r="CZ16" s="92" t="s">
        <v>693</v>
      </c>
      <c r="DA16" s="92" t="s">
        <v>694</v>
      </c>
      <c r="DB16" s="92" t="s">
        <v>695</v>
      </c>
      <c r="DC16" s="92" t="s">
        <v>696</v>
      </c>
      <c r="DD16" s="92" t="s">
        <v>697</v>
      </c>
      <c r="DE16" s="92" t="s">
        <v>698</v>
      </c>
      <c r="DF16" s="92" t="s">
        <v>699</v>
      </c>
      <c r="DG16" s="92" t="s">
        <v>700</v>
      </c>
      <c r="DH16" s="92" t="s">
        <v>701</v>
      </c>
      <c r="DI16" s="92" t="s">
        <v>702</v>
      </c>
      <c r="DJ16" s="92" t="s">
        <v>703</v>
      </c>
      <c r="DK16" s="92" t="s">
        <v>704</v>
      </c>
      <c r="DL16" s="92" t="s">
        <v>705</v>
      </c>
      <c r="DM16" s="92" t="s">
        <v>706</v>
      </c>
      <c r="DN16" s="92" t="s">
        <v>707</v>
      </c>
      <c r="DO16" s="92" t="s">
        <v>708</v>
      </c>
      <c r="DP16" s="92" t="s">
        <v>709</v>
      </c>
      <c r="DQ16" s="92" t="s">
        <v>710</v>
      </c>
      <c r="DR16" s="92" t="s">
        <v>710</v>
      </c>
      <c r="DS16" s="92" t="s">
        <v>711</v>
      </c>
      <c r="DT16" s="92" t="s">
        <v>712</v>
      </c>
      <c r="DU16" s="92" t="s">
        <v>713</v>
      </c>
      <c r="DV16" s="92" t="s">
        <v>714</v>
      </c>
      <c r="DW16" s="92" t="s">
        <v>715</v>
      </c>
      <c r="DX16" s="92" t="s">
        <v>715</v>
      </c>
      <c r="DY16" s="92" t="s">
        <v>716</v>
      </c>
      <c r="DZ16" s="92" t="s">
        <v>717</v>
      </c>
      <c r="EA16" s="92" t="s">
        <v>718</v>
      </c>
      <c r="EB16" s="92" t="s">
        <v>719</v>
      </c>
      <c r="EC16" s="92" t="s">
        <v>720</v>
      </c>
      <c r="ED16" s="92" t="s">
        <v>721</v>
      </c>
      <c r="EE16" s="92" t="s">
        <v>721</v>
      </c>
      <c r="EF16" s="92" t="s">
        <v>722</v>
      </c>
      <c r="EG16" s="92" t="s">
        <v>722</v>
      </c>
      <c r="EH16" s="92" t="s">
        <v>723</v>
      </c>
      <c r="EI16" s="92" t="s">
        <v>724</v>
      </c>
      <c r="EJ16" s="92" t="s">
        <v>725</v>
      </c>
      <c r="EK16" s="92" t="s">
        <v>726</v>
      </c>
      <c r="EL16" s="92" t="s">
        <v>727</v>
      </c>
      <c r="EM16" s="92" t="s">
        <v>728</v>
      </c>
      <c r="EN16" s="92" t="s">
        <v>729</v>
      </c>
      <c r="EO16" s="92" t="s">
        <v>730</v>
      </c>
      <c r="EP16" s="92" t="s">
        <v>731</v>
      </c>
      <c r="EQ16" s="92" t="s">
        <v>732</v>
      </c>
      <c r="ER16" s="92" t="s">
        <v>733</v>
      </c>
      <c r="ES16" s="92" t="s">
        <v>734</v>
      </c>
      <c r="ET16" s="92" t="s">
        <v>735</v>
      </c>
      <c r="EU16" s="92" t="s">
        <v>736</v>
      </c>
      <c r="EV16" s="92" t="s">
        <v>737</v>
      </c>
      <c r="EW16" s="92" t="s">
        <v>738</v>
      </c>
      <c r="EX16" s="92" t="s">
        <v>739</v>
      </c>
      <c r="EY16" s="92" t="s">
        <v>740</v>
      </c>
      <c r="EZ16" s="92" t="s">
        <v>741</v>
      </c>
      <c r="FA16" s="92" t="s">
        <v>742</v>
      </c>
      <c r="FB16" s="98" t="s">
        <v>743</v>
      </c>
      <c r="FC16" s="98" t="s">
        <v>744</v>
      </c>
      <c r="FD16" s="92" t="s">
        <v>740</v>
      </c>
      <c r="FE16" s="92" t="s">
        <v>741</v>
      </c>
      <c r="FF16" s="94" t="s">
        <v>742</v>
      </c>
      <c r="FG16" s="92"/>
      <c r="FH16" s="92"/>
      <c r="FI16" s="92" t="s">
        <v>740</v>
      </c>
      <c r="FJ16" s="92" t="s">
        <v>741</v>
      </c>
      <c r="FK16" s="94" t="s">
        <v>742</v>
      </c>
      <c r="FL16" s="92"/>
      <c r="FM16" s="92"/>
      <c r="FN16" s="92" t="s">
        <v>740</v>
      </c>
      <c r="FO16" s="92" t="s">
        <v>741</v>
      </c>
      <c r="FP16" s="94" t="s">
        <v>742</v>
      </c>
      <c r="FQ16" s="92"/>
      <c r="FR16" s="92"/>
      <c r="FS16" s="92" t="s">
        <v>740</v>
      </c>
      <c r="FT16" s="92" t="s">
        <v>741</v>
      </c>
      <c r="FU16" s="94" t="s">
        <v>742</v>
      </c>
      <c r="FV16" s="92"/>
      <c r="FW16" s="92"/>
      <c r="FX16" s="94" t="s">
        <v>745</v>
      </c>
      <c r="FY16" s="94" t="s">
        <v>745</v>
      </c>
      <c r="FZ16" s="94" t="s">
        <v>745</v>
      </c>
      <c r="GA16" s="94" t="s">
        <v>745</v>
      </c>
      <c r="GB16" s="94" t="s">
        <v>743</v>
      </c>
    </row>
    <row r="17" spans="1:184" s="99" customFormat="1" ht="75">
      <c r="A17" s="91" t="s">
        <v>396</v>
      </c>
      <c r="B17" s="92" t="s">
        <v>746</v>
      </c>
      <c r="C17" s="92" t="s">
        <v>747</v>
      </c>
      <c r="D17" s="92" t="s">
        <v>747</v>
      </c>
      <c r="E17" s="92" t="s">
        <v>747</v>
      </c>
      <c r="F17" s="92" t="s">
        <v>747</v>
      </c>
      <c r="G17" s="92" t="s">
        <v>747</v>
      </c>
      <c r="H17" s="92" t="s">
        <v>747</v>
      </c>
      <c r="I17" s="92" t="s">
        <v>747</v>
      </c>
      <c r="J17" s="92" t="s">
        <v>747</v>
      </c>
      <c r="K17" s="92" t="s">
        <v>747</v>
      </c>
      <c r="L17" s="92" t="s">
        <v>747</v>
      </c>
      <c r="M17" s="201"/>
      <c r="N17" s="201"/>
      <c r="O17" s="201"/>
      <c r="P17" s="92" t="s">
        <v>747</v>
      </c>
      <c r="Q17" s="92" t="s">
        <v>747</v>
      </c>
      <c r="R17" s="92" t="s">
        <v>747</v>
      </c>
      <c r="S17" s="92" t="s">
        <v>747</v>
      </c>
      <c r="T17" s="92" t="s">
        <v>747</v>
      </c>
      <c r="U17" s="92" t="s">
        <v>747</v>
      </c>
      <c r="V17" s="92" t="s">
        <v>747</v>
      </c>
      <c r="W17" s="92" t="s">
        <v>747</v>
      </c>
      <c r="X17" s="92" t="s">
        <v>747</v>
      </c>
      <c r="Y17" s="92" t="s">
        <v>747</v>
      </c>
      <c r="Z17" s="94" t="s">
        <v>747</v>
      </c>
      <c r="AA17" s="92"/>
      <c r="AB17" s="92"/>
      <c r="AC17" s="92"/>
      <c r="AD17" s="92"/>
      <c r="AE17" s="92"/>
      <c r="AF17" s="92"/>
      <c r="AG17" s="92"/>
      <c r="AH17" s="92"/>
      <c r="AI17" s="92"/>
      <c r="AJ17" s="92"/>
      <c r="AK17" s="100" t="s">
        <v>747</v>
      </c>
      <c r="AL17" s="92" t="s">
        <v>747</v>
      </c>
      <c r="AM17" s="92" t="s">
        <v>747</v>
      </c>
      <c r="AN17" s="92" t="s">
        <v>747</v>
      </c>
      <c r="AO17" s="92" t="s">
        <v>748</v>
      </c>
      <c r="AP17" s="92" t="s">
        <v>747</v>
      </c>
      <c r="AQ17" s="92" t="s">
        <v>747</v>
      </c>
      <c r="AR17" s="92" t="s">
        <v>747</v>
      </c>
      <c r="AS17" s="92" t="s">
        <v>747</v>
      </c>
      <c r="AT17" s="92" t="s">
        <v>747</v>
      </c>
      <c r="AU17" s="97" t="s">
        <v>749</v>
      </c>
      <c r="AV17" s="92" t="s">
        <v>747</v>
      </c>
      <c r="AW17" s="92" t="s">
        <v>747</v>
      </c>
      <c r="AX17" s="92" t="s">
        <v>747</v>
      </c>
      <c r="AY17" s="92" t="s">
        <v>747</v>
      </c>
      <c r="AZ17" s="92" t="s">
        <v>747</v>
      </c>
      <c r="BA17" s="92" t="s">
        <v>747</v>
      </c>
      <c r="BB17" s="92" t="s">
        <v>747</v>
      </c>
      <c r="BC17" s="92" t="s">
        <v>747</v>
      </c>
      <c r="BD17" s="92" t="s">
        <v>747</v>
      </c>
      <c r="BE17" s="97" t="s">
        <v>749</v>
      </c>
      <c r="BF17" s="97" t="s">
        <v>749</v>
      </c>
      <c r="BG17" s="92" t="s">
        <v>747</v>
      </c>
      <c r="BH17" s="92" t="s">
        <v>747</v>
      </c>
      <c r="BI17" s="92" t="s">
        <v>747</v>
      </c>
      <c r="BJ17" s="92" t="s">
        <v>747</v>
      </c>
      <c r="BK17" s="92" t="s">
        <v>747</v>
      </c>
      <c r="BL17" s="92" t="s">
        <v>747</v>
      </c>
      <c r="BM17" s="92" t="s">
        <v>747</v>
      </c>
      <c r="BN17" s="92" t="s">
        <v>747</v>
      </c>
      <c r="BO17" s="92" t="s">
        <v>747</v>
      </c>
      <c r="BP17" s="92" t="s">
        <v>747</v>
      </c>
      <c r="BQ17" s="92" t="s">
        <v>747</v>
      </c>
      <c r="BR17" s="92" t="s">
        <v>747</v>
      </c>
      <c r="BS17" s="92" t="s">
        <v>747</v>
      </c>
      <c r="BT17" s="92" t="s">
        <v>747</v>
      </c>
      <c r="BU17" s="92" t="s">
        <v>747</v>
      </c>
      <c r="BV17" s="92" t="s">
        <v>747</v>
      </c>
      <c r="BW17" s="92" t="s">
        <v>747</v>
      </c>
      <c r="BX17" s="92" t="s">
        <v>747</v>
      </c>
      <c r="BY17" s="92" t="s">
        <v>747</v>
      </c>
      <c r="BZ17" s="92" t="s">
        <v>747</v>
      </c>
      <c r="CA17" s="92" t="s">
        <v>747</v>
      </c>
      <c r="CB17" s="92" t="s">
        <v>747</v>
      </c>
      <c r="CC17" s="92" t="s">
        <v>747</v>
      </c>
      <c r="CD17" s="92" t="s">
        <v>747</v>
      </c>
      <c r="CE17" s="92" t="s">
        <v>747</v>
      </c>
      <c r="CF17" s="92" t="s">
        <v>747</v>
      </c>
      <c r="CG17" s="92" t="s">
        <v>747</v>
      </c>
      <c r="CH17" s="92" t="s">
        <v>747</v>
      </c>
      <c r="CI17" s="92" t="s">
        <v>747</v>
      </c>
      <c r="CJ17" s="92" t="s">
        <v>747</v>
      </c>
      <c r="CK17" s="92" t="s">
        <v>747</v>
      </c>
      <c r="CL17" s="92" t="s">
        <v>747</v>
      </c>
      <c r="CM17" s="92" t="s">
        <v>747</v>
      </c>
      <c r="CN17" s="92" t="s">
        <v>747</v>
      </c>
      <c r="CO17" s="92" t="s">
        <v>747</v>
      </c>
      <c r="CP17" s="92" t="s">
        <v>747</v>
      </c>
      <c r="CQ17" s="92" t="s">
        <v>747</v>
      </c>
      <c r="CR17" s="92" t="s">
        <v>747</v>
      </c>
      <c r="CS17" s="92" t="s">
        <v>747</v>
      </c>
      <c r="CT17" s="92" t="s">
        <v>747</v>
      </c>
      <c r="CU17" s="92" t="s">
        <v>747</v>
      </c>
      <c r="CV17" s="92" t="s">
        <v>747</v>
      </c>
      <c r="CW17" s="92" t="s">
        <v>747</v>
      </c>
      <c r="CX17" s="92" t="s">
        <v>747</v>
      </c>
      <c r="CY17" s="92" t="s">
        <v>747</v>
      </c>
      <c r="CZ17" s="92" t="s">
        <v>747</v>
      </c>
      <c r="DA17" s="92" t="s">
        <v>747</v>
      </c>
      <c r="DB17" s="92" t="s">
        <v>747</v>
      </c>
      <c r="DC17" s="92" t="s">
        <v>747</v>
      </c>
      <c r="DD17" s="92" t="s">
        <v>747</v>
      </c>
      <c r="DE17" s="92" t="s">
        <v>747</v>
      </c>
      <c r="DF17" s="92" t="s">
        <v>747</v>
      </c>
      <c r="DG17" s="92" t="s">
        <v>747</v>
      </c>
      <c r="DH17" s="92" t="s">
        <v>747</v>
      </c>
      <c r="DI17" s="92" t="s">
        <v>747</v>
      </c>
      <c r="DJ17" s="92" t="s">
        <v>747</v>
      </c>
      <c r="DK17" s="92" t="s">
        <v>747</v>
      </c>
      <c r="DL17" s="92" t="s">
        <v>747</v>
      </c>
      <c r="DM17" s="92" t="s">
        <v>747</v>
      </c>
      <c r="DN17" s="92" t="s">
        <v>747</v>
      </c>
      <c r="DO17" s="92" t="s">
        <v>747</v>
      </c>
      <c r="DP17" s="92" t="s">
        <v>747</v>
      </c>
      <c r="DQ17" s="92" t="s">
        <v>747</v>
      </c>
      <c r="DR17" s="92" t="s">
        <v>747</v>
      </c>
      <c r="DS17" s="92" t="s">
        <v>747</v>
      </c>
      <c r="DT17" s="92" t="s">
        <v>747</v>
      </c>
      <c r="DU17" s="92" t="s">
        <v>747</v>
      </c>
      <c r="DV17" s="92" t="s">
        <v>747</v>
      </c>
      <c r="DW17" s="92" t="s">
        <v>747</v>
      </c>
      <c r="DX17" s="92" t="s">
        <v>747</v>
      </c>
      <c r="DY17" s="92" t="s">
        <v>747</v>
      </c>
      <c r="DZ17" s="92" t="s">
        <v>747</v>
      </c>
      <c r="EA17" s="92" t="s">
        <v>747</v>
      </c>
      <c r="EB17" s="92" t="s">
        <v>747</v>
      </c>
      <c r="EC17" s="92" t="s">
        <v>747</v>
      </c>
      <c r="ED17" s="92" t="s">
        <v>747</v>
      </c>
      <c r="EE17" s="92" t="s">
        <v>747</v>
      </c>
      <c r="EF17" s="92" t="s">
        <v>747</v>
      </c>
      <c r="EG17" s="92" t="s">
        <v>747</v>
      </c>
      <c r="EH17" s="92" t="s">
        <v>747</v>
      </c>
      <c r="EI17" s="92" t="s">
        <v>747</v>
      </c>
      <c r="EJ17" s="92" t="s">
        <v>747</v>
      </c>
      <c r="EK17" s="92" t="s">
        <v>747</v>
      </c>
      <c r="EL17" s="92" t="s">
        <v>747</v>
      </c>
      <c r="EM17" s="92" t="s">
        <v>747</v>
      </c>
      <c r="EN17" s="92" t="s">
        <v>747</v>
      </c>
      <c r="EO17" s="92" t="s">
        <v>747</v>
      </c>
      <c r="EP17" s="92" t="s">
        <v>747</v>
      </c>
      <c r="EQ17" s="92" t="s">
        <v>747</v>
      </c>
      <c r="ER17" s="92" t="s">
        <v>747</v>
      </c>
      <c r="ES17" s="92" t="s">
        <v>747</v>
      </c>
      <c r="ET17" s="92" t="s">
        <v>747</v>
      </c>
      <c r="EU17" s="92" t="s">
        <v>747</v>
      </c>
      <c r="EV17" s="92" t="s">
        <v>747</v>
      </c>
      <c r="EW17" s="92" t="s">
        <v>747</v>
      </c>
      <c r="EX17" s="92" t="s">
        <v>747</v>
      </c>
      <c r="EY17" s="92" t="s">
        <v>747</v>
      </c>
      <c r="EZ17" s="92" t="s">
        <v>747</v>
      </c>
      <c r="FA17" s="92" t="s">
        <v>747</v>
      </c>
      <c r="FB17" s="92" t="s">
        <v>747</v>
      </c>
      <c r="FC17" s="92" t="s">
        <v>747</v>
      </c>
      <c r="FD17" s="92" t="s">
        <v>747</v>
      </c>
      <c r="FE17" s="92" t="s">
        <v>747</v>
      </c>
      <c r="FF17" s="92" t="s">
        <v>747</v>
      </c>
      <c r="FG17" s="92" t="s">
        <v>747</v>
      </c>
      <c r="FH17" s="92" t="s">
        <v>747</v>
      </c>
      <c r="FI17" s="92" t="s">
        <v>747</v>
      </c>
      <c r="FJ17" s="92" t="s">
        <v>747</v>
      </c>
      <c r="FK17" s="92" t="s">
        <v>747</v>
      </c>
      <c r="FL17" s="92" t="s">
        <v>747</v>
      </c>
      <c r="FM17" s="92" t="s">
        <v>747</v>
      </c>
      <c r="FN17" s="92" t="s">
        <v>747</v>
      </c>
      <c r="FO17" s="92" t="s">
        <v>747</v>
      </c>
      <c r="FP17" s="92" t="s">
        <v>747</v>
      </c>
      <c r="FQ17" s="92" t="s">
        <v>747</v>
      </c>
      <c r="FR17" s="92" t="s">
        <v>747</v>
      </c>
      <c r="FS17" s="92" t="s">
        <v>747</v>
      </c>
      <c r="FT17" s="92" t="s">
        <v>747</v>
      </c>
      <c r="FU17" s="92" t="s">
        <v>747</v>
      </c>
      <c r="FV17" s="92" t="s">
        <v>747</v>
      </c>
      <c r="FW17" s="92" t="s">
        <v>747</v>
      </c>
      <c r="FX17" s="92" t="s">
        <v>747</v>
      </c>
      <c r="FY17" s="92" t="s">
        <v>747</v>
      </c>
      <c r="FZ17" s="92" t="s">
        <v>747</v>
      </c>
      <c r="GA17" s="92" t="s">
        <v>747</v>
      </c>
      <c r="GB17" s="92" t="s">
        <v>747</v>
      </c>
    </row>
    <row r="18" spans="1:184" s="99" customFormat="1" ht="40.5">
      <c r="A18" s="91" t="s">
        <v>396</v>
      </c>
      <c r="B18" s="92" t="s">
        <v>750</v>
      </c>
      <c r="C18" s="92"/>
      <c r="D18" s="101" t="s">
        <v>751</v>
      </c>
      <c r="E18" s="92"/>
      <c r="F18" s="102" t="s">
        <v>752</v>
      </c>
      <c r="G18" s="101" t="s">
        <v>753</v>
      </c>
      <c r="H18" s="92"/>
      <c r="I18" s="102" t="s">
        <v>754</v>
      </c>
      <c r="J18" s="102" t="s">
        <v>755</v>
      </c>
      <c r="K18" s="102" t="s">
        <v>756</v>
      </c>
      <c r="L18" s="92"/>
      <c r="M18" s="201"/>
      <c r="N18" s="201"/>
      <c r="O18" s="201"/>
      <c r="P18" s="92"/>
      <c r="Q18" s="92"/>
      <c r="R18" s="92"/>
      <c r="S18" s="92"/>
      <c r="T18" s="92"/>
      <c r="U18" s="92"/>
      <c r="V18" s="92"/>
      <c r="W18" s="92"/>
      <c r="X18" s="92"/>
      <c r="Y18" s="92"/>
      <c r="Z18" s="94"/>
      <c r="AA18" s="92"/>
      <c r="AB18" s="92"/>
      <c r="AC18" s="92"/>
      <c r="AD18" s="92"/>
      <c r="AE18" s="92"/>
      <c r="AF18" s="92"/>
      <c r="AG18" s="92"/>
      <c r="AH18" s="92"/>
      <c r="AI18" s="92"/>
      <c r="AJ18" s="92"/>
      <c r="AK18" s="103" t="s">
        <v>757</v>
      </c>
      <c r="AL18" s="102" t="s">
        <v>758</v>
      </c>
      <c r="AM18" s="96"/>
      <c r="AN18" s="102" t="s">
        <v>759</v>
      </c>
      <c r="AO18" s="92"/>
      <c r="AP18" s="102" t="s">
        <v>758</v>
      </c>
      <c r="AQ18" s="102" t="s">
        <v>752</v>
      </c>
      <c r="AR18" s="102" t="s">
        <v>760</v>
      </c>
      <c r="AS18" s="102" t="s">
        <v>759</v>
      </c>
      <c r="AT18" s="102" t="s">
        <v>761</v>
      </c>
      <c r="AU18" s="74" t="s">
        <v>756</v>
      </c>
      <c r="AV18" s="102" t="s">
        <v>762</v>
      </c>
      <c r="AW18" s="102" t="s">
        <v>761</v>
      </c>
      <c r="AX18" s="102" t="s">
        <v>763</v>
      </c>
      <c r="AY18" s="102" t="s">
        <v>752</v>
      </c>
      <c r="AZ18" s="102" t="s">
        <v>764</v>
      </c>
      <c r="BA18" s="102" t="s">
        <v>765</v>
      </c>
      <c r="BB18" s="102" t="s">
        <v>764</v>
      </c>
      <c r="BC18" s="102" t="s">
        <v>766</v>
      </c>
      <c r="BD18" s="102" t="s">
        <v>766</v>
      </c>
      <c r="BE18" s="102" t="s">
        <v>751</v>
      </c>
      <c r="BF18" s="102" t="s">
        <v>767</v>
      </c>
      <c r="BG18" s="102" t="s">
        <v>768</v>
      </c>
      <c r="BH18" s="102" t="s">
        <v>769</v>
      </c>
      <c r="BI18" s="102" t="s">
        <v>770</v>
      </c>
      <c r="BJ18" s="102" t="s">
        <v>770</v>
      </c>
      <c r="BK18" s="102" t="s">
        <v>771</v>
      </c>
      <c r="BL18" s="102" t="s">
        <v>772</v>
      </c>
      <c r="BM18" s="102" t="s">
        <v>772</v>
      </c>
      <c r="BN18" s="104" t="s">
        <v>773</v>
      </c>
      <c r="BO18" s="102" t="s">
        <v>753</v>
      </c>
      <c r="BP18" s="102" t="s">
        <v>771</v>
      </c>
      <c r="BQ18" s="102" t="s">
        <v>771</v>
      </c>
      <c r="BR18" s="92" t="s">
        <v>774</v>
      </c>
      <c r="BS18" s="92" t="s">
        <v>774</v>
      </c>
      <c r="BT18" s="92" t="s">
        <v>774</v>
      </c>
      <c r="BU18" s="92" t="s">
        <v>774</v>
      </c>
      <c r="BV18" s="101" t="s">
        <v>775</v>
      </c>
      <c r="BW18" s="101" t="s">
        <v>776</v>
      </c>
      <c r="BX18" s="101" t="s">
        <v>777</v>
      </c>
      <c r="BY18" s="101" t="s">
        <v>778</v>
      </c>
      <c r="BZ18" s="101" t="s">
        <v>778</v>
      </c>
      <c r="CA18" s="101" t="s">
        <v>778</v>
      </c>
      <c r="CB18" s="101" t="s">
        <v>778</v>
      </c>
      <c r="CC18" s="101">
        <v>11</v>
      </c>
      <c r="CD18" s="101" t="s">
        <v>779</v>
      </c>
      <c r="CE18" s="101" t="s">
        <v>779</v>
      </c>
      <c r="CF18" s="101" t="s">
        <v>779</v>
      </c>
      <c r="CG18" s="102" t="s">
        <v>771</v>
      </c>
      <c r="CH18" s="102" t="s">
        <v>780</v>
      </c>
      <c r="CI18" s="102" t="s">
        <v>780</v>
      </c>
      <c r="CJ18" s="102" t="s">
        <v>780</v>
      </c>
      <c r="CK18" s="102" t="s">
        <v>780</v>
      </c>
      <c r="CL18" s="102" t="s">
        <v>777</v>
      </c>
      <c r="CM18" s="102" t="s">
        <v>777</v>
      </c>
      <c r="CN18" s="102" t="s">
        <v>777</v>
      </c>
      <c r="CO18" s="102" t="s">
        <v>777</v>
      </c>
      <c r="CP18" s="102" t="s">
        <v>781</v>
      </c>
      <c r="CQ18" s="102" t="s">
        <v>780</v>
      </c>
      <c r="CR18" s="102" t="s">
        <v>782</v>
      </c>
      <c r="CS18" s="102" t="s">
        <v>783</v>
      </c>
      <c r="CT18" s="102" t="s">
        <v>770</v>
      </c>
      <c r="CU18" s="102" t="s">
        <v>770</v>
      </c>
      <c r="CV18" s="102" t="s">
        <v>782</v>
      </c>
      <c r="CW18" s="102" t="s">
        <v>770</v>
      </c>
      <c r="CX18" s="102" t="s">
        <v>780</v>
      </c>
      <c r="CY18" s="102" t="s">
        <v>784</v>
      </c>
      <c r="CZ18" s="102" t="s">
        <v>780</v>
      </c>
      <c r="DA18" s="102" t="s">
        <v>777</v>
      </c>
      <c r="DB18" s="102" t="s">
        <v>782</v>
      </c>
      <c r="DC18" s="102" t="s">
        <v>770</v>
      </c>
      <c r="DD18" s="102" t="s">
        <v>770</v>
      </c>
      <c r="DE18" s="102" t="s">
        <v>785</v>
      </c>
      <c r="DF18" s="102" t="s">
        <v>782</v>
      </c>
      <c r="DG18" s="102" t="s">
        <v>771</v>
      </c>
      <c r="DH18" s="102" t="s">
        <v>782</v>
      </c>
      <c r="DI18" s="102" t="s">
        <v>786</v>
      </c>
      <c r="DJ18" s="102" t="s">
        <v>782</v>
      </c>
      <c r="DK18" s="102" t="s">
        <v>771</v>
      </c>
      <c r="DL18" s="102" t="s">
        <v>782</v>
      </c>
      <c r="DM18" s="102" t="s">
        <v>771</v>
      </c>
      <c r="DN18" s="102" t="s">
        <v>771</v>
      </c>
      <c r="DO18" s="102" t="s">
        <v>787</v>
      </c>
      <c r="DP18" s="102" t="s">
        <v>787</v>
      </c>
      <c r="DQ18" s="102" t="s">
        <v>777</v>
      </c>
      <c r="DR18" s="102" t="s">
        <v>777</v>
      </c>
      <c r="DS18" s="102" t="s">
        <v>788</v>
      </c>
      <c r="DT18" s="102" t="s">
        <v>788</v>
      </c>
      <c r="DU18" s="102" t="s">
        <v>789</v>
      </c>
      <c r="DV18" s="102" t="s">
        <v>790</v>
      </c>
      <c r="DW18" s="102" t="s">
        <v>791</v>
      </c>
      <c r="DX18" s="102" t="s">
        <v>791</v>
      </c>
      <c r="DY18" s="102" t="s">
        <v>792</v>
      </c>
      <c r="DZ18" s="102" t="s">
        <v>787</v>
      </c>
      <c r="EA18" s="102" t="s">
        <v>793</v>
      </c>
      <c r="EB18" s="102" t="s">
        <v>794</v>
      </c>
      <c r="EC18" s="102" t="s">
        <v>794</v>
      </c>
      <c r="ED18" s="102" t="s">
        <v>794</v>
      </c>
      <c r="EE18" s="102" t="s">
        <v>794</v>
      </c>
      <c r="EF18" s="102" t="s">
        <v>795</v>
      </c>
      <c r="EG18" s="102" t="s">
        <v>795</v>
      </c>
      <c r="EH18" s="102" t="s">
        <v>787</v>
      </c>
      <c r="EI18" s="102" t="s">
        <v>787</v>
      </c>
      <c r="EJ18" s="102" t="s">
        <v>796</v>
      </c>
      <c r="EK18" s="102" t="s">
        <v>797</v>
      </c>
      <c r="EL18" s="102" t="s">
        <v>761</v>
      </c>
      <c r="EM18" s="102" t="s">
        <v>798</v>
      </c>
      <c r="EN18" s="102" t="s">
        <v>758</v>
      </c>
      <c r="EO18" s="102" t="s">
        <v>796</v>
      </c>
      <c r="EP18" s="102" t="s">
        <v>751</v>
      </c>
      <c r="EQ18" s="102" t="s">
        <v>787</v>
      </c>
      <c r="ER18" s="102" t="s">
        <v>799</v>
      </c>
      <c r="ES18" s="102" t="s">
        <v>777</v>
      </c>
      <c r="ET18" s="102" t="s">
        <v>800</v>
      </c>
      <c r="EU18" s="102" t="s">
        <v>801</v>
      </c>
      <c r="EV18" s="102" t="s">
        <v>802</v>
      </c>
      <c r="EW18" s="102" t="s">
        <v>803</v>
      </c>
      <c r="EX18" s="102" t="s">
        <v>804</v>
      </c>
      <c r="EY18" s="102" t="s">
        <v>805</v>
      </c>
      <c r="EZ18" s="92" t="s">
        <v>777</v>
      </c>
      <c r="FA18" s="92" t="s">
        <v>805</v>
      </c>
      <c r="FB18" s="98" t="s">
        <v>806</v>
      </c>
      <c r="FC18" s="98" t="s">
        <v>761</v>
      </c>
      <c r="FD18" s="102" t="s">
        <v>805</v>
      </c>
      <c r="FE18" s="92" t="s">
        <v>777</v>
      </c>
      <c r="FF18" s="94" t="s">
        <v>805</v>
      </c>
      <c r="FG18" s="92"/>
      <c r="FH18" s="92"/>
      <c r="FI18" s="102" t="s">
        <v>805</v>
      </c>
      <c r="FJ18" s="92" t="s">
        <v>777</v>
      </c>
      <c r="FK18" s="94" t="s">
        <v>805</v>
      </c>
      <c r="FL18" s="92"/>
      <c r="FM18" s="92"/>
      <c r="FN18" s="102" t="s">
        <v>805</v>
      </c>
      <c r="FO18" s="92" t="s">
        <v>777</v>
      </c>
      <c r="FP18" s="94" t="s">
        <v>805</v>
      </c>
      <c r="FQ18" s="92"/>
      <c r="FR18" s="92"/>
      <c r="FS18" s="102" t="s">
        <v>805</v>
      </c>
      <c r="FT18" s="92" t="s">
        <v>777</v>
      </c>
      <c r="FU18" s="94" t="s">
        <v>805</v>
      </c>
      <c r="FV18" s="92"/>
      <c r="FW18" s="92"/>
      <c r="FX18" s="94" t="s">
        <v>787</v>
      </c>
      <c r="FY18" s="94" t="s">
        <v>787</v>
      </c>
      <c r="FZ18" s="94" t="s">
        <v>787</v>
      </c>
      <c r="GA18" s="94" t="s">
        <v>787</v>
      </c>
      <c r="GB18" s="94" t="s">
        <v>806</v>
      </c>
    </row>
    <row r="19" spans="1:184" ht="45">
      <c r="A19" s="91" t="s">
        <v>396</v>
      </c>
      <c r="B19" s="220" t="s">
        <v>807</v>
      </c>
      <c r="C19" s="90"/>
      <c r="D19" s="221" t="s">
        <v>808</v>
      </c>
      <c r="E19" s="221" t="s">
        <v>809</v>
      </c>
      <c r="F19" s="221" t="s">
        <v>810</v>
      </c>
      <c r="G19" s="222" t="s">
        <v>811</v>
      </c>
      <c r="H19" s="221" t="s">
        <v>812</v>
      </c>
      <c r="I19" s="221" t="s">
        <v>813</v>
      </c>
      <c r="J19" s="222" t="s">
        <v>814</v>
      </c>
      <c r="K19" s="221" t="s">
        <v>815</v>
      </c>
      <c r="L19" s="90"/>
      <c r="M19" s="201"/>
      <c r="N19" s="201"/>
      <c r="O19" s="201"/>
      <c r="P19" s="90"/>
      <c r="Q19" s="90"/>
      <c r="R19" s="90"/>
      <c r="S19" s="90"/>
      <c r="T19" s="90"/>
      <c r="U19" s="90"/>
      <c r="V19" s="90"/>
      <c r="W19" s="90"/>
      <c r="X19" s="90"/>
      <c r="Y19" s="90"/>
      <c r="Z19" s="105"/>
      <c r="AA19" s="90"/>
      <c r="AB19" s="90"/>
      <c r="AC19" s="90"/>
      <c r="AD19" s="90"/>
      <c r="AE19" s="90"/>
      <c r="AF19" s="90"/>
      <c r="AG19" s="90"/>
      <c r="AH19" s="90"/>
      <c r="AI19" s="90"/>
      <c r="AJ19" s="90"/>
      <c r="AK19" s="95" t="s">
        <v>816</v>
      </c>
      <c r="AL19" s="221" t="s">
        <v>817</v>
      </c>
      <c r="AM19" s="221" t="s">
        <v>818</v>
      </c>
      <c r="AN19" s="221" t="s">
        <v>819</v>
      </c>
      <c r="AO19" s="106" t="s">
        <v>820</v>
      </c>
      <c r="AP19" s="221" t="s">
        <v>821</v>
      </c>
      <c r="AQ19" s="221" t="s">
        <v>822</v>
      </c>
      <c r="AR19" s="221" t="s">
        <v>823</v>
      </c>
      <c r="AS19" s="221" t="s">
        <v>824</v>
      </c>
      <c r="AT19" s="221" t="s">
        <v>825</v>
      </c>
      <c r="AU19" s="221" t="s">
        <v>815</v>
      </c>
      <c r="AV19" s="221" t="s">
        <v>826</v>
      </c>
      <c r="AW19" s="221" t="s">
        <v>827</v>
      </c>
      <c r="AX19" s="221" t="s">
        <v>828</v>
      </c>
      <c r="AY19" s="221" t="s">
        <v>829</v>
      </c>
      <c r="AZ19" s="222" t="s">
        <v>830</v>
      </c>
      <c r="BA19" s="222" t="s">
        <v>831</v>
      </c>
      <c r="BB19" s="222" t="s">
        <v>832</v>
      </c>
      <c r="BC19" s="222" t="s">
        <v>833</v>
      </c>
      <c r="BD19" s="222" t="s">
        <v>834</v>
      </c>
      <c r="BE19" s="221" t="s">
        <v>808</v>
      </c>
      <c r="BF19" s="222" t="s">
        <v>835</v>
      </c>
      <c r="BG19" s="223" t="s">
        <v>821</v>
      </c>
      <c r="BH19" s="223" t="s">
        <v>836</v>
      </c>
      <c r="BI19" s="223" t="s">
        <v>837</v>
      </c>
      <c r="BJ19" s="221" t="s">
        <v>838</v>
      </c>
      <c r="BK19" s="222" t="s">
        <v>839</v>
      </c>
      <c r="BL19" s="222" t="s">
        <v>840</v>
      </c>
      <c r="BM19" s="222" t="s">
        <v>841</v>
      </c>
      <c r="BN19" s="221" t="s">
        <v>842</v>
      </c>
      <c r="BO19" s="222" t="s">
        <v>811</v>
      </c>
      <c r="BP19" s="222" t="s">
        <v>843</v>
      </c>
      <c r="BQ19" s="221" t="s">
        <v>844</v>
      </c>
      <c r="BR19" s="223" t="s">
        <v>845</v>
      </c>
      <c r="BS19" s="223" t="s">
        <v>846</v>
      </c>
      <c r="BT19" s="223" t="s">
        <v>847</v>
      </c>
      <c r="BU19" s="223" t="s">
        <v>848</v>
      </c>
      <c r="BV19" s="107" t="s">
        <v>849</v>
      </c>
      <c r="BW19" s="107" t="s">
        <v>850</v>
      </c>
      <c r="BX19" s="107" t="s">
        <v>851</v>
      </c>
      <c r="BY19" s="219" t="s">
        <v>852</v>
      </c>
      <c r="BZ19" s="219" t="s">
        <v>853</v>
      </c>
      <c r="CA19" s="219" t="s">
        <v>854</v>
      </c>
      <c r="CB19" s="219" t="s">
        <v>855</v>
      </c>
      <c r="CC19" s="219" t="s">
        <v>856</v>
      </c>
      <c r="CD19" s="219" t="s">
        <v>857</v>
      </c>
      <c r="CE19" s="219" t="s">
        <v>858</v>
      </c>
      <c r="CF19" s="219" t="s">
        <v>859</v>
      </c>
      <c r="CG19" s="93"/>
      <c r="CH19" s="221" t="s">
        <v>860</v>
      </c>
      <c r="CI19" s="221" t="s">
        <v>861</v>
      </c>
      <c r="CJ19" s="221" t="s">
        <v>862</v>
      </c>
      <c r="CK19" s="221" t="s">
        <v>863</v>
      </c>
      <c r="CL19" s="221" t="s">
        <v>864</v>
      </c>
      <c r="CM19" s="221" t="s">
        <v>865</v>
      </c>
      <c r="CN19" s="221" t="s">
        <v>866</v>
      </c>
      <c r="CO19" s="221" t="s">
        <v>867</v>
      </c>
      <c r="CP19" s="221" t="s">
        <v>868</v>
      </c>
      <c r="CQ19" s="221" t="s">
        <v>869</v>
      </c>
      <c r="CR19" s="221" t="s">
        <v>870</v>
      </c>
      <c r="CS19" s="221" t="s">
        <v>871</v>
      </c>
      <c r="CT19" s="221" t="s">
        <v>872</v>
      </c>
      <c r="CU19" s="221" t="s">
        <v>873</v>
      </c>
      <c r="CV19" s="221" t="s">
        <v>874</v>
      </c>
      <c r="CW19" s="221" t="s">
        <v>875</v>
      </c>
      <c r="CX19" s="221" t="s">
        <v>876</v>
      </c>
      <c r="CY19" s="221" t="s">
        <v>851</v>
      </c>
      <c r="CZ19" s="221" t="s">
        <v>877</v>
      </c>
      <c r="DA19" s="221" t="s">
        <v>878</v>
      </c>
      <c r="DB19" s="221" t="s">
        <v>879</v>
      </c>
      <c r="DC19" s="221" t="s">
        <v>880</v>
      </c>
      <c r="DD19" s="221" t="s">
        <v>881</v>
      </c>
      <c r="DE19" s="221" t="s">
        <v>882</v>
      </c>
      <c r="DF19" s="221" t="s">
        <v>883</v>
      </c>
      <c r="DG19" s="221" t="s">
        <v>884</v>
      </c>
      <c r="DH19" s="221" t="s">
        <v>885</v>
      </c>
      <c r="DI19" s="221" t="s">
        <v>886</v>
      </c>
      <c r="DJ19" s="221" t="s">
        <v>887</v>
      </c>
      <c r="DK19" s="221" t="s">
        <v>888</v>
      </c>
      <c r="DL19" s="221" t="s">
        <v>889</v>
      </c>
      <c r="DM19" s="221" t="s">
        <v>890</v>
      </c>
      <c r="DN19" s="221" t="s">
        <v>891</v>
      </c>
      <c r="DO19" s="221" t="s">
        <v>892</v>
      </c>
      <c r="DP19" s="223" t="s">
        <v>893</v>
      </c>
      <c r="DQ19" s="221" t="s">
        <v>894</v>
      </c>
      <c r="DR19" s="221" t="s">
        <v>895</v>
      </c>
      <c r="DS19" s="221" t="s">
        <v>896</v>
      </c>
      <c r="DT19" s="221" t="s">
        <v>897</v>
      </c>
      <c r="DU19" s="221" t="s">
        <v>898</v>
      </c>
      <c r="DV19" s="221" t="s">
        <v>899</v>
      </c>
      <c r="DW19" s="221" t="s">
        <v>900</v>
      </c>
      <c r="DX19" s="221" t="s">
        <v>901</v>
      </c>
      <c r="DY19" s="221" t="s">
        <v>902</v>
      </c>
      <c r="DZ19" s="223" t="s">
        <v>903</v>
      </c>
      <c r="EA19" s="224" t="s">
        <v>904</v>
      </c>
      <c r="EB19" s="221" t="s">
        <v>905</v>
      </c>
      <c r="EC19" s="221" t="s">
        <v>906</v>
      </c>
      <c r="ED19" s="221" t="s">
        <v>907</v>
      </c>
      <c r="EE19" s="221" t="s">
        <v>908</v>
      </c>
      <c r="EF19" s="221" t="s">
        <v>909</v>
      </c>
      <c r="EG19" s="221" t="s">
        <v>910</v>
      </c>
      <c r="EH19" s="221" t="s">
        <v>911</v>
      </c>
      <c r="EI19" s="223" t="s">
        <v>912</v>
      </c>
      <c r="EJ19" s="221" t="s">
        <v>913</v>
      </c>
      <c r="EK19" s="223" t="s">
        <v>914</v>
      </c>
      <c r="EL19" s="221" t="s">
        <v>915</v>
      </c>
      <c r="EM19" s="221" t="s">
        <v>916</v>
      </c>
      <c r="EN19" s="221" t="s">
        <v>917</v>
      </c>
      <c r="EO19" s="221" t="s">
        <v>918</v>
      </c>
      <c r="EP19" s="223" t="s">
        <v>919</v>
      </c>
      <c r="EQ19" s="221" t="s">
        <v>920</v>
      </c>
      <c r="ER19" s="221" t="s">
        <v>921</v>
      </c>
      <c r="ES19" s="221" t="s">
        <v>922</v>
      </c>
      <c r="ET19" s="221" t="s">
        <v>923</v>
      </c>
      <c r="EU19" s="221" t="s">
        <v>924</v>
      </c>
      <c r="EV19" s="221" t="s">
        <v>925</v>
      </c>
      <c r="EW19" s="221" t="s">
        <v>926</v>
      </c>
      <c r="EX19" s="221" t="s">
        <v>927</v>
      </c>
      <c r="EY19" s="221" t="s">
        <v>928</v>
      </c>
      <c r="EZ19" s="221" t="s">
        <v>929</v>
      </c>
      <c r="FA19" s="221" t="s">
        <v>930</v>
      </c>
      <c r="FB19" s="225" t="s">
        <v>931</v>
      </c>
      <c r="FC19" s="225" t="s">
        <v>932</v>
      </c>
      <c r="FD19" s="221" t="s">
        <v>928</v>
      </c>
      <c r="FE19" s="221" t="s">
        <v>929</v>
      </c>
      <c r="FF19" s="221" t="s">
        <v>930</v>
      </c>
      <c r="FG19" s="225" t="s">
        <v>933</v>
      </c>
      <c r="FH19" s="225" t="s">
        <v>933</v>
      </c>
      <c r="FI19" s="221" t="s">
        <v>928</v>
      </c>
      <c r="FJ19" s="221" t="s">
        <v>929</v>
      </c>
      <c r="FK19" s="221" t="s">
        <v>930</v>
      </c>
      <c r="FL19" s="225" t="s">
        <v>933</v>
      </c>
      <c r="FM19" s="225" t="s">
        <v>933</v>
      </c>
      <c r="FN19" s="221" t="s">
        <v>928</v>
      </c>
      <c r="FO19" s="221" t="s">
        <v>929</v>
      </c>
      <c r="FP19" s="221" t="s">
        <v>930</v>
      </c>
      <c r="FQ19" s="225" t="s">
        <v>933</v>
      </c>
      <c r="FR19" s="225" t="s">
        <v>933</v>
      </c>
      <c r="FS19" s="221" t="s">
        <v>928</v>
      </c>
      <c r="FT19" s="221" t="s">
        <v>929</v>
      </c>
      <c r="FU19" s="221" t="s">
        <v>930</v>
      </c>
      <c r="FV19" s="225" t="s">
        <v>933</v>
      </c>
      <c r="FW19" s="225" t="s">
        <v>933</v>
      </c>
      <c r="FX19" s="221" t="s">
        <v>934</v>
      </c>
      <c r="FY19" s="221" t="s">
        <v>935</v>
      </c>
      <c r="FZ19" s="221" t="s">
        <v>936</v>
      </c>
      <c r="GA19" s="221" t="s">
        <v>937</v>
      </c>
      <c r="GB19" s="221" t="s">
        <v>938</v>
      </c>
    </row>
    <row r="20" spans="1:184">
      <c r="AL20" s="68"/>
      <c r="AM20" s="68"/>
      <c r="AN20" s="68"/>
      <c r="AO20" s="68"/>
      <c r="AP20" s="68"/>
    </row>
    <row r="21" spans="1:184">
      <c r="AH21" s="68"/>
      <c r="AI21" s="68"/>
      <c r="AJ21" s="68"/>
      <c r="AK21" s="68"/>
      <c r="AL21" s="68"/>
      <c r="AM21" s="68"/>
      <c r="AN21" s="68"/>
      <c r="AO21" s="68"/>
      <c r="AP21" s="68"/>
    </row>
    <row r="22" spans="1:184">
      <c r="AH22" s="68"/>
      <c r="AI22" s="68"/>
      <c r="AJ22" s="68"/>
      <c r="AK22" s="68"/>
      <c r="AL22" s="68"/>
      <c r="AM22" s="68"/>
      <c r="AN22" s="68"/>
      <c r="AO22" s="68"/>
      <c r="AP22" s="68"/>
    </row>
    <row r="23" spans="1:184">
      <c r="AH23" s="68"/>
      <c r="AI23" s="68"/>
      <c r="AJ23" s="68"/>
      <c r="AK23" s="68"/>
      <c r="AL23" s="68"/>
      <c r="AM23" s="68"/>
      <c r="AN23" s="68"/>
      <c r="AO23" s="68"/>
      <c r="AP23" s="68"/>
    </row>
    <row r="24" spans="1:184">
      <c r="AH24" s="68"/>
      <c r="AI24" s="68"/>
      <c r="AJ24" s="68"/>
      <c r="AK24" s="68"/>
      <c r="AL24" s="68"/>
      <c r="AM24" s="68"/>
      <c r="AN24" s="68"/>
      <c r="AO24" s="68"/>
      <c r="AP24" s="68"/>
    </row>
    <row r="25" spans="1:184">
      <c r="AH25" s="68"/>
      <c r="AI25" s="68"/>
      <c r="AJ25" s="68"/>
      <c r="AK25" s="68"/>
      <c r="AL25" s="68"/>
      <c r="AM25" s="68"/>
      <c r="AN25" s="68"/>
      <c r="AO25" s="68"/>
      <c r="AP25" s="68"/>
    </row>
    <row r="26" spans="1:184">
      <c r="AH26" s="68"/>
      <c r="AI26" s="68"/>
      <c r="AJ26" s="68"/>
      <c r="AK26" s="68"/>
      <c r="AL26" s="68"/>
      <c r="AM26" s="68"/>
      <c r="AN26" s="68"/>
      <c r="AO26" s="68"/>
      <c r="AP26" s="68"/>
    </row>
    <row r="27" spans="1:184">
      <c r="AH27" s="68"/>
      <c r="AI27" s="68"/>
      <c r="AJ27" s="68"/>
      <c r="AK27" s="68"/>
      <c r="AL27" s="68"/>
      <c r="AM27" s="68"/>
      <c r="AN27" s="68"/>
      <c r="AO27" s="68"/>
      <c r="AP27" s="68"/>
    </row>
    <row r="28" spans="1:184">
      <c r="AH28" s="68"/>
      <c r="AI28" s="68"/>
      <c r="AJ28" s="68"/>
      <c r="AK28" s="68"/>
      <c r="AL28" s="68"/>
      <c r="AM28" s="68"/>
      <c r="AN28" s="68"/>
      <c r="AO28" s="68"/>
      <c r="AP28" s="68"/>
    </row>
    <row r="29" spans="1:184">
      <c r="AH29" s="68"/>
      <c r="AI29" s="68"/>
      <c r="AJ29" s="68"/>
      <c r="AK29" s="68"/>
      <c r="AL29" s="68"/>
      <c r="AM29" s="68"/>
      <c r="AN29" s="68"/>
      <c r="AO29" s="68"/>
      <c r="AP29" s="68"/>
    </row>
    <row r="30" spans="1:184">
      <c r="AL30" s="68"/>
      <c r="AM30" s="68"/>
      <c r="AN30" s="68"/>
      <c r="AO30" s="68"/>
      <c r="AP30" s="68"/>
    </row>
    <row r="31" spans="1:184">
      <c r="AL31" s="68"/>
      <c r="AM31" s="68"/>
      <c r="AN31" s="68"/>
      <c r="AO31" s="68"/>
      <c r="AP31" s="68"/>
    </row>
  </sheetData>
  <conditionalFormatting sqref="AV17:BD17 BG17 AP17:AT17 BV17:BX17 CC17:CF17 P17:AN17 C17:L17">
    <cfRule type="cellIs" dxfId="53" priority="6" operator="equal">
      <formula>"ja"</formula>
    </cfRule>
  </conditionalFormatting>
  <conditionalFormatting sqref="BH17:BU17">
    <cfRule type="cellIs" dxfId="52" priority="5" operator="equal">
      <formula>"ja"</formula>
    </cfRule>
  </conditionalFormatting>
  <conditionalFormatting sqref="CG17">
    <cfRule type="cellIs" dxfId="51" priority="4" operator="equal">
      <formula>"ja"</formula>
    </cfRule>
  </conditionalFormatting>
  <conditionalFormatting sqref="AK17">
    <cfRule type="cellIs" dxfId="50" priority="3" operator="equal">
      <formula>"ja"</formula>
    </cfRule>
  </conditionalFormatting>
  <conditionalFormatting sqref="CH17:GB17">
    <cfRule type="cellIs" dxfId="49" priority="2" operator="equal">
      <formula>"ja"</formula>
    </cfRule>
  </conditionalFormatting>
  <conditionalFormatting sqref="BY17:CB17">
    <cfRule type="cellIs" dxfId="48" priority="1" operator="equal">
      <formula>"ja"</formula>
    </cfRule>
  </conditionalFormatting>
  <pageMargins left="0.7" right="0.7" top="0.78740157499999996" bottom="0.78740157499999996"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tabColor rgb="FFFFC000"/>
  </sheetPr>
  <dimension ref="A1:L55"/>
  <sheetViews>
    <sheetView showGridLines="0" zoomScale="85" zoomScaleNormal="85" workbookViewId="0"/>
  </sheetViews>
  <sheetFormatPr baseColWidth="10" defaultColWidth="11.42578125" defaultRowHeight="15"/>
  <cols>
    <col min="1" max="1" width="13" customWidth="1"/>
    <col min="3" max="3" width="27" customWidth="1"/>
    <col min="4" max="4" width="12" customWidth="1"/>
    <col min="5" max="5" width="13.140625" customWidth="1"/>
  </cols>
  <sheetData>
    <row r="1" spans="1:10" ht="24" thickBot="1">
      <c r="A1" s="155" t="s">
        <v>96</v>
      </c>
      <c r="E1" s="162" t="s">
        <v>97</v>
      </c>
      <c r="F1" s="163" t="s">
        <v>1027</v>
      </c>
      <c r="G1" s="162" t="s">
        <v>98</v>
      </c>
    </row>
    <row r="2" spans="1:10" ht="15.75" thickTop="1"/>
    <row r="3" spans="1:10" ht="33.75" customHeight="1">
      <c r="A3" s="315" t="s">
        <v>958</v>
      </c>
      <c r="B3" s="316"/>
      <c r="C3" s="316"/>
    </row>
    <row r="4" spans="1:10">
      <c r="A4" s="154" t="s">
        <v>940</v>
      </c>
      <c r="B4" s="117"/>
      <c r="C4" s="117"/>
    </row>
    <row r="6" spans="1:10" ht="29.25" customHeight="1">
      <c r="A6" s="315" t="s">
        <v>959</v>
      </c>
      <c r="B6" s="316"/>
      <c r="C6" s="316"/>
    </row>
    <row r="7" spans="1:10">
      <c r="A7" s="154" t="s">
        <v>941</v>
      </c>
      <c r="B7" s="117"/>
      <c r="C7" s="117"/>
    </row>
    <row r="10" spans="1:10" ht="22.5">
      <c r="A10" s="115" t="s">
        <v>99</v>
      </c>
    </row>
    <row r="11" spans="1:10">
      <c r="J11" s="151" t="s">
        <v>100</v>
      </c>
    </row>
    <row r="12" spans="1:10" ht="20.25" thickBot="1">
      <c r="A12" s="116" t="s">
        <v>101</v>
      </c>
      <c r="J12" s="151" t="str">
        <f>CONCATENATE(Auftragsdaten!C27,"-",Auftragsdaten!G8,"-",Auftragsdaten!C10,"-",Auftragsdaten!G21,"-","ZUR WIEDERVERWERTUNG")</f>
        <v>----ZUR WIEDERVERWERTUNG</v>
      </c>
    </row>
    <row r="13" spans="1:10" ht="16.5" thickTop="1" thickBot="1">
      <c r="A13" s="140" t="s">
        <v>102</v>
      </c>
    </row>
    <row r="14" spans="1:10">
      <c r="A14" s="119" t="s">
        <v>103</v>
      </c>
      <c r="B14" s="124"/>
      <c r="C14" s="124"/>
      <c r="D14" s="125"/>
      <c r="E14" s="181"/>
      <c r="F14" s="182"/>
      <c r="J14" s="152" t="s">
        <v>104</v>
      </c>
    </row>
    <row r="15" spans="1:10" ht="26.25">
      <c r="A15" s="121" t="s">
        <v>105</v>
      </c>
      <c r="B15" s="126" t="s">
        <v>106</v>
      </c>
      <c r="C15" s="127" t="s">
        <v>107</v>
      </c>
      <c r="D15" s="128" t="s">
        <v>1016</v>
      </c>
      <c r="E15" s="128" t="s">
        <v>1015</v>
      </c>
      <c r="F15" s="183"/>
    </row>
    <row r="16" spans="1:10">
      <c r="A16" s="122">
        <v>1</v>
      </c>
      <c r="B16" s="129" t="s">
        <v>108</v>
      </c>
      <c r="C16" s="130" t="s">
        <v>109</v>
      </c>
      <c r="D16" s="131" t="s">
        <v>110</v>
      </c>
      <c r="E16" s="306" t="s">
        <v>1017</v>
      </c>
      <c r="F16" s="304"/>
    </row>
    <row r="17" spans="1:8" ht="26.25">
      <c r="A17" s="122">
        <v>2</v>
      </c>
      <c r="B17" s="129" t="s">
        <v>111</v>
      </c>
      <c r="C17" s="130" t="s">
        <v>112</v>
      </c>
      <c r="D17" s="307" t="s">
        <v>1018</v>
      </c>
      <c r="E17" s="308" t="s">
        <v>1019</v>
      </c>
      <c r="F17" s="249" t="s">
        <v>979</v>
      </c>
    </row>
    <row r="18" spans="1:8" ht="26.25">
      <c r="A18" s="122">
        <v>3</v>
      </c>
      <c r="B18" s="129" t="s">
        <v>113</v>
      </c>
      <c r="C18" s="130" t="s">
        <v>114</v>
      </c>
      <c r="D18" s="307" t="s">
        <v>1021</v>
      </c>
      <c r="E18" s="308" t="s">
        <v>1020</v>
      </c>
      <c r="F18" s="304"/>
      <c r="H18" s="139"/>
    </row>
    <row r="19" spans="1:8">
      <c r="A19" s="122">
        <v>4</v>
      </c>
      <c r="B19" s="129" t="s">
        <v>115</v>
      </c>
      <c r="C19" s="130" t="s">
        <v>116</v>
      </c>
      <c r="D19" s="131" t="s">
        <v>117</v>
      </c>
      <c r="E19" s="306" t="s">
        <v>1014</v>
      </c>
      <c r="F19" s="304"/>
    </row>
    <row r="20" spans="1:8">
      <c r="A20" s="122">
        <v>5</v>
      </c>
      <c r="B20" s="129" t="s">
        <v>118</v>
      </c>
      <c r="C20" s="130" t="s">
        <v>119</v>
      </c>
      <c r="D20" s="131" t="s">
        <v>1022</v>
      </c>
      <c r="E20" s="306" t="s">
        <v>1023</v>
      </c>
      <c r="F20" s="304"/>
    </row>
    <row r="21" spans="1:8">
      <c r="A21" s="122">
        <v>6</v>
      </c>
      <c r="B21" s="129" t="s">
        <v>120</v>
      </c>
      <c r="C21" s="130" t="s">
        <v>121</v>
      </c>
      <c r="D21" s="131" t="s">
        <v>1013</v>
      </c>
      <c r="E21" s="306"/>
      <c r="F21" s="304"/>
    </row>
    <row r="22" spans="1:8">
      <c r="A22" s="122">
        <v>7</v>
      </c>
      <c r="B22" s="129" t="s">
        <v>123</v>
      </c>
      <c r="C22" s="130" t="s">
        <v>124</v>
      </c>
      <c r="D22" s="131" t="s">
        <v>125</v>
      </c>
      <c r="E22" s="306"/>
      <c r="F22" s="304"/>
    </row>
    <row r="23" spans="1:8" ht="15.75" thickBot="1">
      <c r="A23" s="123">
        <v>8</v>
      </c>
      <c r="B23" s="132" t="s">
        <v>126</v>
      </c>
      <c r="C23" s="133" t="s">
        <v>127</v>
      </c>
      <c r="D23" s="134" t="s">
        <v>128</v>
      </c>
      <c r="E23" s="306"/>
      <c r="F23" s="305"/>
    </row>
    <row r="24" spans="1:8" ht="15.75" thickBot="1">
      <c r="A24" s="118"/>
      <c r="B24" s="118"/>
      <c r="C24" s="118"/>
      <c r="D24" s="187"/>
      <c r="E24" s="186"/>
      <c r="F24" s="118"/>
    </row>
    <row r="25" spans="1:8">
      <c r="A25" s="119" t="s">
        <v>129</v>
      </c>
      <c r="B25" s="124"/>
      <c r="C25" s="124"/>
      <c r="D25" s="125"/>
      <c r="E25" s="184"/>
      <c r="F25" s="120"/>
    </row>
    <row r="26" spans="1:8" ht="60">
      <c r="A26" s="121" t="s">
        <v>130</v>
      </c>
      <c r="B26" s="135" t="s">
        <v>131</v>
      </c>
      <c r="C26" s="136" t="s">
        <v>132</v>
      </c>
      <c r="D26" s="128" t="s">
        <v>133</v>
      </c>
      <c r="E26" s="185" t="s">
        <v>134</v>
      </c>
      <c r="F26" s="120"/>
    </row>
    <row r="27" spans="1:8">
      <c r="A27" s="122">
        <v>0</v>
      </c>
      <c r="B27" s="137" t="s">
        <v>135</v>
      </c>
      <c r="C27" s="130" t="s">
        <v>136</v>
      </c>
      <c r="D27" s="131" t="s">
        <v>137</v>
      </c>
      <c r="E27" s="188" t="s">
        <v>138</v>
      </c>
      <c r="F27" s="120"/>
    </row>
    <row r="28" spans="1:8">
      <c r="A28" s="122">
        <v>1</v>
      </c>
      <c r="B28" s="137" t="s">
        <v>139</v>
      </c>
      <c r="C28" s="130" t="s">
        <v>140</v>
      </c>
      <c r="D28" s="131" t="s">
        <v>141</v>
      </c>
      <c r="E28" s="188">
        <v>3</v>
      </c>
      <c r="F28" s="120"/>
    </row>
    <row r="29" spans="1:8">
      <c r="A29" s="122">
        <v>5</v>
      </c>
      <c r="B29" s="137" t="s">
        <v>142</v>
      </c>
      <c r="C29" s="130" t="s">
        <v>143</v>
      </c>
      <c r="D29" s="131" t="s">
        <v>144</v>
      </c>
      <c r="E29" s="188">
        <v>4</v>
      </c>
      <c r="F29" s="120"/>
    </row>
    <row r="30" spans="1:8">
      <c r="A30" s="122">
        <v>2</v>
      </c>
      <c r="B30" s="137" t="s">
        <v>145</v>
      </c>
      <c r="C30" s="130" t="s">
        <v>146</v>
      </c>
      <c r="D30" s="131" t="s">
        <v>147</v>
      </c>
      <c r="E30" s="188">
        <v>5</v>
      </c>
      <c r="F30" s="120"/>
    </row>
    <row r="31" spans="1:8" ht="15.75" thickBot="1">
      <c r="A31" s="122">
        <v>3</v>
      </c>
      <c r="B31" s="138" t="s">
        <v>148</v>
      </c>
      <c r="C31" s="133" t="s">
        <v>149</v>
      </c>
      <c r="D31" s="134" t="s">
        <v>150</v>
      </c>
      <c r="E31" s="188" t="s">
        <v>151</v>
      </c>
      <c r="F31" s="120"/>
    </row>
    <row r="34" spans="1:12" ht="20.25" thickBot="1">
      <c r="A34" s="116" t="s">
        <v>988</v>
      </c>
    </row>
    <row r="35" spans="1:12" ht="16.5" thickTop="1" thickBot="1">
      <c r="A35" s="140" t="s">
        <v>989</v>
      </c>
    </row>
    <row r="36" spans="1:12">
      <c r="A36" s="119" t="s">
        <v>103</v>
      </c>
      <c r="B36" s="124"/>
      <c r="C36" s="124"/>
    </row>
    <row r="37" spans="1:12" ht="39">
      <c r="A37" s="121" t="s">
        <v>991</v>
      </c>
      <c r="B37" s="126" t="s">
        <v>992</v>
      </c>
      <c r="C37" s="127" t="s">
        <v>990</v>
      </c>
    </row>
    <row r="38" spans="1:12" ht="39">
      <c r="A38" s="122" t="s">
        <v>993</v>
      </c>
      <c r="B38" s="129">
        <v>7270</v>
      </c>
      <c r="C38" s="258" t="s">
        <v>997</v>
      </c>
    </row>
    <row r="39" spans="1:12">
      <c r="A39" s="122" t="s">
        <v>994</v>
      </c>
      <c r="B39" s="129">
        <v>11</v>
      </c>
      <c r="C39" s="130" t="s">
        <v>998</v>
      </c>
    </row>
    <row r="40" spans="1:12">
      <c r="A40" s="122" t="s">
        <v>108</v>
      </c>
      <c r="B40" s="129">
        <v>4861</v>
      </c>
      <c r="C40" s="130" t="s">
        <v>999</v>
      </c>
    </row>
    <row r="41" spans="1:12">
      <c r="A41" s="122" t="s">
        <v>995</v>
      </c>
      <c r="B41" s="129">
        <v>3786</v>
      </c>
      <c r="C41" s="130" t="s">
        <v>1000</v>
      </c>
    </row>
    <row r="42" spans="1:12" ht="39">
      <c r="A42" s="122" t="s">
        <v>996</v>
      </c>
      <c r="B42" s="129">
        <v>28165</v>
      </c>
      <c r="C42" s="258" t="s">
        <v>1001</v>
      </c>
    </row>
    <row r="43" spans="1:12">
      <c r="A43" s="122" t="s">
        <v>1030</v>
      </c>
      <c r="B43" s="129">
        <v>49478</v>
      </c>
      <c r="C43" s="258" t="s">
        <v>1031</v>
      </c>
    </row>
    <row r="45" spans="1:12">
      <c r="L45" s="302"/>
    </row>
    <row r="47" spans="1:12">
      <c r="L47" s="303"/>
    </row>
    <row r="55" spans="12:12">
      <c r="L55" s="303"/>
    </row>
  </sheetData>
  <mergeCells count="2">
    <mergeCell ref="A3:C3"/>
    <mergeCell ref="A6:C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sv_komplett_detail">
                <anchor moveWithCells="1" sizeWithCells="1">
                  <from>
                    <xdr:col>4</xdr:col>
                    <xdr:colOff>9525</xdr:colOff>
                    <xdr:row>1</xdr:row>
                    <xdr:rowOff>85725</xdr:rowOff>
                  </from>
                  <to>
                    <xdr:col>8</xdr:col>
                    <xdr:colOff>409575</xdr:colOff>
                    <xdr:row>9</xdr:row>
                    <xdr:rowOff>123825</xdr:rowOff>
                  </to>
                </anchor>
              </controlPr>
            </control>
          </mc:Choice>
        </mc:AlternateContent>
        <mc:AlternateContent xmlns:mc="http://schemas.openxmlformats.org/markup-compatibility/2006">
          <mc:Choice Requires="x14">
            <control shapeId="5122" r:id="rId5" name="Button 2">
              <controlPr defaultSize="0" print="0" autoFill="0" autoPict="0" macro="[0]!xlsm_wiederverwerten">
                <anchor moveWithCells="1" sizeWithCells="1">
                  <from>
                    <xdr:col>9</xdr:col>
                    <xdr:colOff>57150</xdr:colOff>
                    <xdr:row>1</xdr:row>
                    <xdr:rowOff>95250</xdr:rowOff>
                  </from>
                  <to>
                    <xdr:col>13</xdr:col>
                    <xdr:colOff>428625</xdr:colOff>
                    <xdr:row>9</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
    <tabColor rgb="FF92D050"/>
  </sheetPr>
  <dimension ref="A1"/>
  <sheetViews>
    <sheetView workbookViewId="0"/>
  </sheetViews>
  <sheetFormatPr baseColWidth="10" defaultColWidth="11.42578125" defaultRowHeight="15"/>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dimension ref="A1:C100"/>
  <sheetViews>
    <sheetView showGridLines="0" showRowColHeaders="0" workbookViewId="0"/>
  </sheetViews>
  <sheetFormatPr baseColWidth="10" defaultColWidth="11.42578125" defaultRowHeight="15"/>
  <cols>
    <col min="1" max="1" width="16.85546875" bestFit="1" customWidth="1"/>
  </cols>
  <sheetData>
    <row r="1" spans="1:3" ht="22.5">
      <c r="A1" s="115" t="s">
        <v>152</v>
      </c>
    </row>
    <row r="3" spans="1:3" ht="20.25" thickBot="1">
      <c r="A3" s="116" t="s">
        <v>153</v>
      </c>
    </row>
    <row r="4" spans="1:3" ht="21" thickTop="1">
      <c r="A4" s="156"/>
    </row>
    <row r="6" spans="1:3" ht="20.25" thickBot="1">
      <c r="A6" s="116" t="s">
        <v>154</v>
      </c>
    </row>
    <row r="7" spans="1:3" ht="21" thickTop="1">
      <c r="A7" s="156"/>
    </row>
    <row r="9" spans="1:3" ht="20.25" thickBot="1">
      <c r="A9" s="116" t="s">
        <v>21</v>
      </c>
    </row>
    <row r="10" spans="1:3" ht="21" thickTop="1">
      <c r="A10" s="156"/>
    </row>
    <row r="12" spans="1:3" ht="20.25" thickBot="1">
      <c r="A12" s="116" t="s">
        <v>155</v>
      </c>
    </row>
    <row r="13" spans="1:3" ht="21" thickTop="1">
      <c r="A13" s="157"/>
    </row>
    <row r="15" spans="1:3" ht="20.25" thickBot="1">
      <c r="A15" s="116" t="s">
        <v>18</v>
      </c>
    </row>
    <row r="16" spans="1:3" ht="30.75" thickTop="1">
      <c r="A16" s="158"/>
      <c r="B16" s="154"/>
      <c r="C16" s="154"/>
    </row>
    <row r="18" spans="1:3" ht="20.25" thickBot="1">
      <c r="A18" s="116" t="s">
        <v>975</v>
      </c>
    </row>
    <row r="19" spans="1:3" ht="30.75" thickTop="1">
      <c r="A19" s="158"/>
      <c r="B19" s="154"/>
      <c r="C19" s="154"/>
    </row>
    <row r="20" spans="1:3" s="68" customFormat="1"/>
    <row r="21" spans="1:3" s="68" customFormat="1"/>
    <row r="22" spans="1:3" s="68" customFormat="1"/>
    <row r="23" spans="1:3" s="68" customFormat="1"/>
    <row r="24" spans="1:3" s="68" customFormat="1"/>
    <row r="25" spans="1:3" s="68" customFormat="1"/>
    <row r="26" spans="1:3" s="68" customFormat="1"/>
    <row r="27" spans="1:3" s="68" customFormat="1"/>
    <row r="28" spans="1:3" s="68" customFormat="1"/>
    <row r="29" spans="1:3" s="68" customFormat="1"/>
    <row r="30" spans="1:3" s="68" customFormat="1"/>
    <row r="31" spans="1:3" s="68" customFormat="1"/>
    <row r="32" spans="1:3" s="68" customFormat="1"/>
    <row r="33" s="68" customFormat="1"/>
    <row r="34" s="68" customFormat="1"/>
    <row r="35" s="68" customFormat="1"/>
    <row r="36" s="68" customFormat="1"/>
    <row r="37" s="68" customFormat="1"/>
    <row r="38" s="68" customFormat="1"/>
    <row r="39" s="68" customFormat="1"/>
    <row r="40" s="68" customFormat="1"/>
    <row r="41" s="68" customFormat="1"/>
    <row r="42" s="68" customFormat="1"/>
    <row r="43" s="68" customFormat="1"/>
    <row r="44" s="68" customFormat="1"/>
    <row r="45" s="68" customFormat="1"/>
    <row r="46" s="68" customFormat="1"/>
    <row r="47" s="68" customFormat="1"/>
    <row r="48" s="68" customFormat="1"/>
    <row r="49" s="68" customFormat="1"/>
    <row r="50" s="68" customFormat="1"/>
    <row r="51" s="68" customFormat="1"/>
    <row r="52" s="68" customFormat="1"/>
    <row r="53" s="68" customFormat="1"/>
    <row r="54" s="68" customFormat="1"/>
    <row r="55" s="68" customFormat="1"/>
    <row r="56" s="68" customFormat="1"/>
    <row r="57" s="68" customFormat="1"/>
    <row r="58" s="68" customFormat="1"/>
    <row r="59" s="68" customFormat="1"/>
    <row r="60" s="68" customFormat="1"/>
    <row r="61" s="68" customFormat="1"/>
    <row r="62" s="68" customFormat="1"/>
    <row r="63" s="68" customFormat="1"/>
    <row r="64" s="68" customFormat="1"/>
    <row r="65" s="68" customFormat="1"/>
    <row r="66" s="68" customFormat="1"/>
    <row r="67" s="68" customFormat="1"/>
    <row r="68" s="68" customFormat="1"/>
    <row r="69" s="68" customFormat="1"/>
    <row r="70" s="68" customFormat="1"/>
    <row r="71" s="68" customFormat="1"/>
    <row r="72" s="68" customFormat="1"/>
    <row r="73" s="68" customFormat="1"/>
    <row r="74" s="68" customFormat="1"/>
    <row r="75" s="68" customFormat="1"/>
    <row r="76" s="68" customFormat="1"/>
    <row r="77" s="68" customFormat="1"/>
    <row r="78" s="68" customFormat="1"/>
    <row r="79" s="68" customFormat="1"/>
    <row r="80" s="68" customFormat="1"/>
    <row r="81" s="68" customFormat="1"/>
    <row r="82" s="68" customFormat="1"/>
    <row r="83" s="68" customFormat="1"/>
    <row r="84" s="68" customFormat="1"/>
    <row r="85" s="68" customFormat="1"/>
    <row r="86" s="68" customFormat="1"/>
    <row r="87" s="68" customFormat="1"/>
    <row r="88" s="68" customFormat="1"/>
    <row r="89" s="68" customFormat="1"/>
    <row r="90" s="68" customFormat="1"/>
    <row r="91" s="68" customFormat="1"/>
    <row r="92" s="68" customFormat="1"/>
    <row r="93" s="68" customFormat="1"/>
    <row r="94" s="68" customFormat="1"/>
    <row r="95" s="68" customFormat="1"/>
    <row r="96" s="68" customFormat="1"/>
    <row r="97" s="68" customFormat="1"/>
    <row r="98" s="68" customFormat="1"/>
    <row r="99" s="68" customFormat="1"/>
    <row r="100" s="68" customFormat="1"/>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rgb="FF92D050"/>
  </sheetPr>
  <dimension ref="A2:R241"/>
  <sheetViews>
    <sheetView showGridLines="0" tabSelected="1" zoomScaleNormal="100" workbookViewId="0"/>
  </sheetViews>
  <sheetFormatPr baseColWidth="10" defaultColWidth="11.42578125" defaultRowHeight="15"/>
  <sheetData>
    <row r="2" spans="1:8">
      <c r="H2" s="170"/>
    </row>
    <row r="3" spans="1:8" ht="33">
      <c r="B3" s="171" t="s">
        <v>1026</v>
      </c>
    </row>
    <row r="4" spans="1:8">
      <c r="B4" s="172"/>
    </row>
    <row r="5" spans="1:8">
      <c r="B5" s="172" t="s">
        <v>1033</v>
      </c>
    </row>
    <row r="6" spans="1:8">
      <c r="B6" s="172"/>
    </row>
    <row r="7" spans="1:8" ht="20.25" thickBot="1">
      <c r="A7" s="173" t="s">
        <v>156</v>
      </c>
    </row>
    <row r="8" spans="1:8" ht="15.75" thickTop="1">
      <c r="B8" s="172" t="s">
        <v>966</v>
      </c>
    </row>
    <row r="9" spans="1:8">
      <c r="B9" s="172"/>
    </row>
    <row r="10" spans="1:8">
      <c r="B10" s="172" t="s">
        <v>157</v>
      </c>
    </row>
    <row r="11" spans="1:8">
      <c r="B11" s="172"/>
    </row>
    <row r="12" spans="1:8" ht="20.25" thickBot="1">
      <c r="A12" s="173" t="s">
        <v>158</v>
      </c>
    </row>
    <row r="13" spans="1:8" ht="15.75" thickTop="1">
      <c r="B13" s="172" t="s">
        <v>159</v>
      </c>
    </row>
    <row r="14" spans="1:8">
      <c r="B14" s="174" t="s">
        <v>160</v>
      </c>
    </row>
    <row r="15" spans="1:8">
      <c r="B15" s="174" t="s">
        <v>161</v>
      </c>
    </row>
    <row r="16" spans="1:8">
      <c r="B16" s="174" t="s">
        <v>162</v>
      </c>
    </row>
    <row r="17" spans="2:2">
      <c r="B17" s="172"/>
    </row>
    <row r="18" spans="2:2">
      <c r="B18" s="172" t="s">
        <v>976</v>
      </c>
    </row>
    <row r="19" spans="2:2">
      <c r="B19" s="172" t="s">
        <v>163</v>
      </c>
    </row>
    <row r="37" spans="1:2" ht="20.25" thickBot="1">
      <c r="A37" s="173" t="s">
        <v>164</v>
      </c>
    </row>
    <row r="38" spans="1:2" ht="18.75" thickTop="1" thickBot="1">
      <c r="B38" s="233" t="s">
        <v>950</v>
      </c>
    </row>
    <row r="39" spans="1:2" ht="15.75" thickTop="1">
      <c r="B39" s="175" t="s">
        <v>165</v>
      </c>
    </row>
    <row r="40" spans="1:2">
      <c r="B40" s="175" t="s">
        <v>166</v>
      </c>
    </row>
    <row r="41" spans="1:2">
      <c r="B41" s="175" t="s">
        <v>167</v>
      </c>
    </row>
    <row r="42" spans="1:2">
      <c r="B42" s="175" t="s">
        <v>168</v>
      </c>
    </row>
    <row r="43" spans="1:2">
      <c r="B43" s="175" t="s">
        <v>169</v>
      </c>
    </row>
    <row r="72" spans="2:11">
      <c r="B72" s="235" t="s">
        <v>953</v>
      </c>
    </row>
    <row r="73" spans="2:11" ht="61.5" customHeight="1">
      <c r="B73" s="319" t="s">
        <v>954</v>
      </c>
      <c r="C73" s="319"/>
      <c r="D73" s="319"/>
      <c r="E73" s="319"/>
      <c r="F73" s="319"/>
      <c r="G73" s="319"/>
      <c r="H73" s="319"/>
      <c r="I73" s="319"/>
      <c r="J73" s="319"/>
      <c r="K73" s="319"/>
    </row>
    <row r="74" spans="2:11" ht="15.75" customHeight="1">
      <c r="B74" s="319" t="s">
        <v>955</v>
      </c>
      <c r="C74" s="319"/>
      <c r="D74" s="319"/>
      <c r="E74" s="319"/>
      <c r="F74" s="319"/>
      <c r="G74" s="319"/>
      <c r="H74" s="319"/>
      <c r="I74" s="319"/>
      <c r="J74" s="319"/>
      <c r="K74" s="319"/>
    </row>
    <row r="75" spans="2:11" ht="30" customHeight="1">
      <c r="B75" s="319" t="s">
        <v>962</v>
      </c>
      <c r="C75" s="319"/>
      <c r="D75" s="319"/>
      <c r="E75" s="319"/>
      <c r="F75" s="319"/>
      <c r="G75" s="319"/>
      <c r="H75" s="319"/>
      <c r="I75" s="319"/>
      <c r="J75" s="319"/>
      <c r="K75" s="319"/>
    </row>
    <row r="76" spans="2:11" ht="30" customHeight="1">
      <c r="B76" s="319" t="s">
        <v>969</v>
      </c>
      <c r="C76" s="319"/>
      <c r="D76" s="319"/>
      <c r="E76" s="319"/>
      <c r="F76" s="319"/>
      <c r="G76" s="319"/>
      <c r="H76" s="319"/>
      <c r="I76" s="319"/>
      <c r="J76" s="319"/>
      <c r="K76" s="319"/>
    </row>
    <row r="78" spans="2:11" ht="18" thickBot="1">
      <c r="B78" s="233" t="s">
        <v>951</v>
      </c>
    </row>
    <row r="79" spans="2:11" ht="15.75" thickTop="1">
      <c r="B79" s="234" t="s">
        <v>170</v>
      </c>
    </row>
    <row r="98" spans="2:11">
      <c r="B98" s="235" t="s">
        <v>953</v>
      </c>
    </row>
    <row r="99" spans="2:11" ht="16.5" customHeight="1">
      <c r="B99" s="319" t="s">
        <v>956</v>
      </c>
      <c r="C99" s="319"/>
      <c r="D99" s="319"/>
      <c r="E99" s="319"/>
      <c r="F99" s="319"/>
      <c r="G99" s="319"/>
      <c r="H99" s="319"/>
      <c r="I99" s="319"/>
      <c r="J99" s="319"/>
      <c r="K99" s="319"/>
    </row>
    <row r="100" spans="2:11" ht="31.5" customHeight="1">
      <c r="B100" s="319" t="s">
        <v>957</v>
      </c>
      <c r="C100" s="319"/>
      <c r="D100" s="319"/>
      <c r="E100" s="319"/>
      <c r="F100" s="319"/>
      <c r="G100" s="319"/>
      <c r="H100" s="319"/>
      <c r="I100" s="319"/>
      <c r="J100" s="319"/>
      <c r="K100" s="319"/>
    </row>
    <row r="101" spans="2:11" ht="31.5" customHeight="1">
      <c r="B101" s="319" t="s">
        <v>1007</v>
      </c>
      <c r="C101" s="319"/>
      <c r="D101" s="319"/>
      <c r="E101" s="319"/>
      <c r="F101" s="319"/>
      <c r="G101" s="319"/>
      <c r="H101" s="319"/>
      <c r="I101" s="319"/>
      <c r="J101" s="319"/>
      <c r="K101" s="319"/>
    </row>
    <row r="103" spans="2:11" ht="18" thickBot="1">
      <c r="B103" s="233" t="s">
        <v>952</v>
      </c>
    </row>
    <row r="104" spans="2:11" ht="15.75" thickTop="1"/>
    <row r="124" spans="2:2">
      <c r="B124" s="176" t="s">
        <v>171</v>
      </c>
    </row>
    <row r="125" spans="2:2">
      <c r="B125" s="236" t="s">
        <v>172</v>
      </c>
    </row>
    <row r="126" spans="2:2">
      <c r="B126" s="236" t="s">
        <v>173</v>
      </c>
    </row>
    <row r="127" spans="2:2">
      <c r="B127" s="172" t="s">
        <v>174</v>
      </c>
    </row>
    <row r="128" spans="2:2">
      <c r="B128" s="172" t="s">
        <v>175</v>
      </c>
    </row>
    <row r="129" spans="2:15">
      <c r="B129" s="237" t="s">
        <v>176</v>
      </c>
    </row>
    <row r="130" spans="2:15">
      <c r="B130" s="172" t="s">
        <v>961</v>
      </c>
    </row>
    <row r="131" spans="2:15">
      <c r="B131" s="172" t="s">
        <v>960</v>
      </c>
    </row>
    <row r="132" spans="2:15" ht="46.5" customHeight="1">
      <c r="B132" s="320" t="s">
        <v>963</v>
      </c>
      <c r="C132" s="320"/>
      <c r="D132" s="320"/>
      <c r="E132" s="320"/>
      <c r="F132" s="320"/>
      <c r="G132" s="320"/>
      <c r="H132" s="320"/>
      <c r="I132" s="320"/>
      <c r="J132" s="320"/>
      <c r="K132" s="320"/>
      <c r="L132" s="320"/>
      <c r="M132" s="320"/>
      <c r="N132" s="320"/>
      <c r="O132" s="238"/>
    </row>
    <row r="160" spans="1:1" ht="20.25" thickBot="1">
      <c r="A160" s="173" t="s">
        <v>177</v>
      </c>
    </row>
    <row r="161" spans="2:15" ht="33" customHeight="1" thickTop="1">
      <c r="B161" s="318" t="s">
        <v>178</v>
      </c>
      <c r="C161" s="318"/>
      <c r="D161" s="318"/>
      <c r="E161" s="318"/>
      <c r="F161" s="318"/>
      <c r="G161" s="318"/>
      <c r="H161" s="318"/>
      <c r="I161" s="318"/>
      <c r="J161" s="318"/>
      <c r="K161" s="318"/>
      <c r="L161" s="318"/>
      <c r="M161" s="318"/>
      <c r="N161" s="318"/>
      <c r="O161" s="318"/>
    </row>
    <row r="162" spans="2:15">
      <c r="B162" s="172"/>
    </row>
    <row r="163" spans="2:15">
      <c r="B163" s="175" t="s">
        <v>939</v>
      </c>
    </row>
    <row r="180" spans="2:7">
      <c r="B180" s="177" t="s">
        <v>179</v>
      </c>
      <c r="C180" s="178"/>
      <c r="D180" s="178"/>
      <c r="E180" s="178"/>
      <c r="F180" s="178"/>
      <c r="G180" s="117"/>
    </row>
    <row r="182" spans="2:7">
      <c r="B182" s="175" t="s">
        <v>180</v>
      </c>
    </row>
    <row r="192" spans="2:7">
      <c r="B192" s="175" t="s">
        <v>181</v>
      </c>
    </row>
    <row r="194" spans="1:2">
      <c r="B194" s="175" t="s">
        <v>182</v>
      </c>
    </row>
    <row r="195" spans="1:2">
      <c r="B195" s="175" t="s">
        <v>183</v>
      </c>
    </row>
    <row r="199" spans="1:2" ht="20.25" thickBot="1">
      <c r="A199" s="116" t="s">
        <v>184</v>
      </c>
    </row>
    <row r="200" spans="1:2" ht="15.75" thickTop="1"/>
    <row r="201" spans="1:2">
      <c r="A201" t="s">
        <v>185</v>
      </c>
    </row>
    <row r="218" spans="1:18" ht="20.25" thickBot="1">
      <c r="A218" s="116" t="s">
        <v>970</v>
      </c>
    </row>
    <row r="219" spans="1:18" ht="15.75" thickTop="1"/>
    <row r="220" spans="1:18" ht="18" thickBot="1">
      <c r="A220" s="233" t="s">
        <v>971</v>
      </c>
    </row>
    <row r="221" spans="1:18" ht="15.75" thickTop="1">
      <c r="B221" s="317" t="s">
        <v>972</v>
      </c>
      <c r="C221" s="317"/>
      <c r="D221" s="317"/>
      <c r="E221" s="317"/>
      <c r="F221" s="317"/>
      <c r="G221" s="317"/>
      <c r="H221" s="317"/>
      <c r="I221" s="317"/>
      <c r="J221" s="317"/>
      <c r="K221" s="317"/>
      <c r="L221" s="317"/>
      <c r="M221" s="317"/>
      <c r="N221" s="317"/>
      <c r="O221" s="317"/>
      <c r="P221" s="317"/>
      <c r="Q221" s="317"/>
      <c r="R221" s="317"/>
    </row>
    <row r="240" spans="1:1" ht="18" thickBot="1">
      <c r="A240" s="233" t="s">
        <v>973</v>
      </c>
    </row>
    <row r="241" spans="2:18" ht="30.75" customHeight="1" thickTop="1">
      <c r="B241" s="317" t="s">
        <v>974</v>
      </c>
      <c r="C241" s="317"/>
      <c r="D241" s="317"/>
      <c r="E241" s="317"/>
      <c r="F241" s="317"/>
      <c r="G241" s="317"/>
      <c r="H241" s="317"/>
      <c r="I241" s="317"/>
      <c r="J241" s="317"/>
      <c r="K241" s="317"/>
      <c r="L241" s="317"/>
      <c r="M241" s="317"/>
      <c r="N241" s="317"/>
      <c r="O241" s="317"/>
      <c r="P241" s="317"/>
      <c r="Q241" s="317"/>
      <c r="R241" s="317"/>
    </row>
  </sheetData>
  <mergeCells count="11">
    <mergeCell ref="B221:R221"/>
    <mergeCell ref="B241:R241"/>
    <mergeCell ref="B161:O161"/>
    <mergeCell ref="B75:K75"/>
    <mergeCell ref="B73:K73"/>
    <mergeCell ref="B101:K101"/>
    <mergeCell ref="B99:K99"/>
    <mergeCell ref="B132:N132"/>
    <mergeCell ref="B74:K74"/>
    <mergeCell ref="B76:K76"/>
    <mergeCell ref="B100:K100"/>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tabColor theme="1"/>
  </sheetPr>
  <dimension ref="A1:S77"/>
  <sheetViews>
    <sheetView zoomScale="40" zoomScaleNormal="40" workbookViewId="0"/>
  </sheetViews>
  <sheetFormatPr baseColWidth="10" defaultColWidth="11.42578125" defaultRowHeight="23.25"/>
  <cols>
    <col min="1" max="1" width="20.42578125" style="228" customWidth="1"/>
    <col min="2" max="2" width="18.5703125" style="228" customWidth="1"/>
    <col min="3" max="4" width="11.42578125" style="228"/>
    <col min="5" max="5" width="22.28515625" style="228" customWidth="1"/>
    <col min="6" max="6" width="20.42578125" style="228" customWidth="1"/>
    <col min="7" max="9" width="11.42578125" style="228"/>
    <col min="10" max="10" width="19.140625" style="228" customWidth="1"/>
    <col min="11" max="11" width="20.42578125" style="228" customWidth="1"/>
    <col min="12" max="16384" width="11.42578125" style="228"/>
  </cols>
  <sheetData>
    <row r="1" spans="1:19">
      <c r="A1" s="228" t="s">
        <v>186</v>
      </c>
      <c r="E1" s="228" t="s">
        <v>187</v>
      </c>
      <c r="J1" s="228" t="s">
        <v>188</v>
      </c>
    </row>
    <row r="3" spans="1:19">
      <c r="A3" s="228" t="s">
        <v>189</v>
      </c>
      <c r="B3" s="228" t="s">
        <v>190</v>
      </c>
      <c r="E3" s="228" t="s">
        <v>191</v>
      </c>
      <c r="F3" s="228" t="s">
        <v>192</v>
      </c>
      <c r="H3" s="228" t="s">
        <v>193</v>
      </c>
      <c r="I3" s="228" t="s">
        <v>194</v>
      </c>
      <c r="J3" s="228" t="s">
        <v>195</v>
      </c>
      <c r="K3" s="228" t="s">
        <v>196</v>
      </c>
      <c r="L3" s="228" t="s">
        <v>197</v>
      </c>
      <c r="M3" s="228" t="s">
        <v>198</v>
      </c>
      <c r="N3" s="228" t="s">
        <v>199</v>
      </c>
      <c r="O3" s="228" t="s">
        <v>200</v>
      </c>
      <c r="P3" s="228" t="s">
        <v>201</v>
      </c>
    </row>
    <row r="4" spans="1:19">
      <c r="A4" s="229" t="s">
        <v>202</v>
      </c>
      <c r="B4" s="228" t="s">
        <v>203</v>
      </c>
      <c r="E4" s="229" t="s">
        <v>53</v>
      </c>
      <c r="F4" s="228" t="s">
        <v>53</v>
      </c>
      <c r="I4" s="228" t="str">
        <f>LEFT(t_Fruchtarten_Nährstoffe[[#This Row],[FRUARTTEXT]],1)</f>
        <v>1</v>
      </c>
      <c r="J4" s="228">
        <v>0</v>
      </c>
      <c r="K4" s="228">
        <v>1</v>
      </c>
      <c r="L4" s="228">
        <v>1.2</v>
      </c>
      <c r="M4" s="228">
        <v>1.4</v>
      </c>
      <c r="N4" s="228">
        <v>40</v>
      </c>
      <c r="O4" s="228">
        <v>1.5</v>
      </c>
      <c r="P4" s="228">
        <v>4</v>
      </c>
      <c r="S4" s="228" t="s">
        <v>204</v>
      </c>
    </row>
    <row r="5" spans="1:19">
      <c r="A5" s="229" t="s">
        <v>205</v>
      </c>
      <c r="B5" s="228" t="s">
        <v>206</v>
      </c>
      <c r="E5" s="229" t="s">
        <v>207</v>
      </c>
      <c r="F5" s="228" t="s">
        <v>207</v>
      </c>
      <c r="H5" s="228">
        <v>1</v>
      </c>
      <c r="I5" s="228" t="str">
        <f>LEFT(t_Fruchtarten_Nährstoffe[[#This Row],[FRUARTTEXT]],1)</f>
        <v>A</v>
      </c>
      <c r="J5" s="228" t="s">
        <v>208</v>
      </c>
      <c r="K5" s="228" t="s">
        <v>209</v>
      </c>
      <c r="L5" s="228">
        <v>0.16</v>
      </c>
      <c r="M5" s="228">
        <v>0.65</v>
      </c>
      <c r="N5" s="228">
        <v>500</v>
      </c>
      <c r="O5" s="228">
        <v>0.14000000000000001</v>
      </c>
      <c r="P5" s="228">
        <v>0.65</v>
      </c>
      <c r="R5" s="228" t="str">
        <f>t_Fruchtarten_Nährstoffe[[#This Row],[FRUARTTEXT]]</f>
        <v>Ackergras</v>
      </c>
    </row>
    <row r="6" spans="1:19">
      <c r="A6" s="229" t="s">
        <v>210</v>
      </c>
      <c r="B6" s="228" t="s">
        <v>211</v>
      </c>
      <c r="I6" s="228" t="str">
        <f>LEFT(t_Fruchtarten_Nährstoffe[[#This Row],[FRUARTTEXT]],1)</f>
        <v>A</v>
      </c>
      <c r="J6" s="228" t="s">
        <v>212</v>
      </c>
      <c r="K6" s="228" t="s">
        <v>213</v>
      </c>
      <c r="L6" s="228">
        <v>0.7</v>
      </c>
      <c r="M6" s="228">
        <v>3.25</v>
      </c>
      <c r="N6" s="228">
        <v>105</v>
      </c>
      <c r="O6" s="228">
        <v>0.7</v>
      </c>
      <c r="P6" s="228">
        <v>3.25</v>
      </c>
      <c r="R6" s="228" t="str">
        <f>t_Fruchtarten_Nährstoffe[[#This Row],[FRUARTTEXT]]</f>
        <v>Ackergras (TM)</v>
      </c>
    </row>
    <row r="7" spans="1:19">
      <c r="A7" s="229" t="s">
        <v>214</v>
      </c>
      <c r="B7" s="228" t="s">
        <v>215</v>
      </c>
      <c r="I7" s="228" t="str">
        <f>LEFT(t_Fruchtarten_Nährstoffe[[#This Row],[FRUARTTEXT]],1)</f>
        <v>B</v>
      </c>
      <c r="J7" s="228" t="s">
        <v>216</v>
      </c>
      <c r="K7" s="228" t="s">
        <v>217</v>
      </c>
      <c r="L7" s="228">
        <v>0.1</v>
      </c>
      <c r="M7" s="228">
        <v>0.36</v>
      </c>
      <c r="N7" s="228">
        <v>350</v>
      </c>
      <c r="O7" s="228">
        <v>0.37</v>
      </c>
      <c r="P7" s="228">
        <v>1.21</v>
      </c>
      <c r="R7" s="228" t="str">
        <f>t_Fruchtarten_Nährstoffe[[#This Row],[FRUARTTEXT]]</f>
        <v>Blumenkohl</v>
      </c>
    </row>
    <row r="8" spans="1:19">
      <c r="A8" s="229" t="s">
        <v>218</v>
      </c>
      <c r="B8" s="228" t="s">
        <v>219</v>
      </c>
      <c r="I8" s="228" t="str">
        <f>LEFT(t_Fruchtarten_Nährstoffe[[#This Row],[FRUARTTEXT]],1)</f>
        <v>D</v>
      </c>
      <c r="J8" s="228" t="s">
        <v>220</v>
      </c>
      <c r="K8" s="228" t="s">
        <v>221</v>
      </c>
      <c r="L8" s="228">
        <v>0.8</v>
      </c>
      <c r="M8" s="228">
        <v>0.8</v>
      </c>
      <c r="N8" s="228">
        <v>55</v>
      </c>
      <c r="O8" s="228">
        <v>1.1000000000000001</v>
      </c>
      <c r="P8" s="228">
        <v>2.5</v>
      </c>
      <c r="R8" s="228" t="str">
        <f>t_Fruchtarten_Nährstoffe[[#This Row],[FRUARTTEXT]]</f>
        <v>Dinkel</v>
      </c>
    </row>
    <row r="9" spans="1:19">
      <c r="A9" s="229" t="s">
        <v>222</v>
      </c>
      <c r="B9" s="228" t="s">
        <v>223</v>
      </c>
      <c r="I9" s="228" t="str">
        <f>LEFT(t_Fruchtarten_Nährstoffe[[#This Row],[FRUARTTEXT]],1)</f>
        <v>D</v>
      </c>
      <c r="J9" s="228" t="s">
        <v>224</v>
      </c>
      <c r="K9" s="228" t="s">
        <v>225</v>
      </c>
      <c r="L9" s="228">
        <v>0.8</v>
      </c>
      <c r="M9" s="228">
        <v>0.6</v>
      </c>
      <c r="N9" s="228">
        <v>50</v>
      </c>
      <c r="O9" s="228">
        <v>1.1000000000000001</v>
      </c>
      <c r="P9" s="228">
        <v>2</v>
      </c>
      <c r="R9" s="228" t="str">
        <f>t_Fruchtarten_Nährstoffe[[#This Row],[FRUARTTEXT]]</f>
        <v>Durum</v>
      </c>
    </row>
    <row r="10" spans="1:19">
      <c r="I10" s="228" t="str">
        <f>LEFT(t_Fruchtarten_Nährstoffe[[#This Row],[FRUARTTEXT]],1)</f>
        <v>E</v>
      </c>
      <c r="J10" s="228" t="s">
        <v>226</v>
      </c>
      <c r="K10" s="228" t="s">
        <v>227</v>
      </c>
      <c r="L10" s="228">
        <v>1.1000000000000001</v>
      </c>
      <c r="M10" s="228">
        <v>1.4</v>
      </c>
      <c r="N10" s="228">
        <v>35</v>
      </c>
      <c r="O10" s="228">
        <v>1.4</v>
      </c>
      <c r="P10" s="228">
        <v>4</v>
      </c>
      <c r="R10" s="228" t="str">
        <f>t_Fruchtarten_Nährstoffe[[#This Row],[FRUARTTEXT]]</f>
        <v>Erbsen (Körner)</v>
      </c>
    </row>
    <row r="11" spans="1:19">
      <c r="I11" s="228" t="str">
        <f>LEFT(t_Fruchtarten_Nährstoffe[[#This Row],[FRUARTTEXT]],1)</f>
        <v>E</v>
      </c>
      <c r="J11" s="228" t="s">
        <v>228</v>
      </c>
      <c r="K11" s="228" t="s">
        <v>229</v>
      </c>
      <c r="L11" s="228">
        <v>0.05</v>
      </c>
      <c r="M11" s="228">
        <v>0.28000000000000003</v>
      </c>
      <c r="N11" s="228">
        <v>200</v>
      </c>
      <c r="O11" s="228">
        <v>0.05</v>
      </c>
      <c r="P11" s="228">
        <v>0.28000000000000003</v>
      </c>
      <c r="R11" s="228" t="str">
        <f>t_Fruchtarten_Nährstoffe[[#This Row],[FRUARTTEXT]]</f>
        <v>Erdbeeren</v>
      </c>
    </row>
    <row r="12" spans="1:19">
      <c r="E12" s="228" t="s">
        <v>230</v>
      </c>
      <c r="F12" s="228" t="s">
        <v>231</v>
      </c>
      <c r="I12" s="228" t="str">
        <f>LEFT(t_Fruchtarten_Nährstoffe[[#This Row],[FRUARTTEXT]],1)</f>
        <v>F</v>
      </c>
      <c r="J12" s="228" t="s">
        <v>232</v>
      </c>
      <c r="K12" s="228" t="s">
        <v>233</v>
      </c>
      <c r="L12" s="228">
        <v>0.1</v>
      </c>
      <c r="M12" s="228">
        <v>0.65</v>
      </c>
      <c r="N12" s="228">
        <v>80</v>
      </c>
      <c r="O12" s="228">
        <v>0.15</v>
      </c>
      <c r="P12" s="228">
        <v>0.78</v>
      </c>
      <c r="R12" s="228" t="str">
        <f>t_Fruchtarten_Nährstoffe[[#This Row],[FRUARTTEXT]]</f>
        <v>Feldsalat</v>
      </c>
    </row>
    <row r="13" spans="1:19">
      <c r="F13" s="228" t="s">
        <v>53</v>
      </c>
      <c r="I13" s="228" t="str">
        <f>LEFT(t_Fruchtarten_Nährstoffe[[#This Row],[FRUARTTEXT]],1)</f>
        <v>F</v>
      </c>
      <c r="J13" s="228" t="s">
        <v>234</v>
      </c>
      <c r="K13" s="228" t="s">
        <v>235</v>
      </c>
      <c r="L13" s="228">
        <v>0.09</v>
      </c>
      <c r="M13" s="228">
        <v>0.5</v>
      </c>
      <c r="N13" s="228">
        <v>700</v>
      </c>
      <c r="O13" s="228">
        <v>0.12</v>
      </c>
      <c r="P13" s="228">
        <v>0.75</v>
      </c>
      <c r="R13" s="228" t="str">
        <f>t_Fruchtarten_Nährstoffe[[#This Row],[FRUARTTEXT]]</f>
        <v>Futterrübe - Gehalt</v>
      </c>
    </row>
    <row r="14" spans="1:19">
      <c r="I14" s="228" t="str">
        <f>LEFT(t_Fruchtarten_Nährstoffe[[#This Row],[FRUARTTEXT]],1)</f>
        <v>F</v>
      </c>
      <c r="J14" s="228" t="s">
        <v>236</v>
      </c>
      <c r="K14" s="228" t="s">
        <v>237</v>
      </c>
      <c r="L14" s="228">
        <v>7.0000000000000007E-2</v>
      </c>
      <c r="M14" s="228">
        <v>0.45</v>
      </c>
      <c r="N14" s="228">
        <v>900</v>
      </c>
      <c r="O14" s="228">
        <v>0.09</v>
      </c>
      <c r="P14" s="228">
        <v>0.6</v>
      </c>
      <c r="R14" s="228" t="str">
        <f>t_Fruchtarten_Nährstoffe[[#This Row],[FRUARTTEXT]]</f>
        <v>Futterrübe - Masse</v>
      </c>
    </row>
    <row r="15" spans="1:19">
      <c r="I15" s="228" t="str">
        <f>LEFT(t_Fruchtarten_Nährstoffe[[#This Row],[FRUARTTEXT]],1)</f>
        <v>F</v>
      </c>
      <c r="J15" s="228" t="s">
        <v>238</v>
      </c>
      <c r="K15" s="228" t="s">
        <v>239</v>
      </c>
      <c r="L15" s="228">
        <v>0.6</v>
      </c>
      <c r="M15" s="228">
        <v>3.33</v>
      </c>
      <c r="N15" s="228">
        <v>120</v>
      </c>
      <c r="O15" s="228">
        <v>0.8</v>
      </c>
      <c r="P15" s="228">
        <v>5</v>
      </c>
      <c r="R15" s="228" t="str">
        <f>t_Fruchtarten_Nährstoffe[[#This Row],[FRUARTTEXT]]</f>
        <v>Futterrübe (TM)</v>
      </c>
    </row>
    <row r="16" spans="1:19">
      <c r="A16" s="228" t="s">
        <v>153</v>
      </c>
      <c r="E16" s="228" t="s">
        <v>240</v>
      </c>
      <c r="F16" s="228" t="s">
        <v>241</v>
      </c>
      <c r="H16" s="228">
        <v>1</v>
      </c>
      <c r="I16" s="228" t="str">
        <f>LEFT(t_Fruchtarten_Nährstoffe[[#This Row],[FRUARTTEXT]],1)</f>
        <v>G</v>
      </c>
      <c r="J16" s="228" t="s">
        <v>242</v>
      </c>
      <c r="K16" s="228" t="s">
        <v>243</v>
      </c>
      <c r="L16" s="228">
        <v>0.5</v>
      </c>
      <c r="M16" s="228">
        <v>1.93</v>
      </c>
      <c r="N16" s="228">
        <v>40</v>
      </c>
      <c r="O16" s="228">
        <v>0.5</v>
      </c>
      <c r="P16" s="228">
        <v>1.93</v>
      </c>
      <c r="R16" s="228" t="str">
        <f>t_Fruchtarten_Nährstoffe[[#This Row],[FRUARTTEXT]]</f>
        <v>Grünland 1 Nutzung</v>
      </c>
    </row>
    <row r="17" spans="1:18">
      <c r="F17" s="228" t="s">
        <v>244</v>
      </c>
      <c r="H17" s="228">
        <v>1</v>
      </c>
      <c r="I17" s="228" t="str">
        <f>LEFT(t_Fruchtarten_Nährstoffe[[#This Row],[FRUARTTEXT]],1)</f>
        <v>G</v>
      </c>
      <c r="J17" s="228" t="s">
        <v>245</v>
      </c>
      <c r="K17" s="228" t="s">
        <v>246</v>
      </c>
      <c r="L17" s="228">
        <v>0.65</v>
      </c>
      <c r="M17" s="228">
        <v>2.41</v>
      </c>
      <c r="N17" s="228">
        <v>55</v>
      </c>
      <c r="O17" s="228">
        <v>0.65</v>
      </c>
      <c r="P17" s="228">
        <v>2.41</v>
      </c>
      <c r="R17" s="228" t="str">
        <f>t_Fruchtarten_Nährstoffe[[#This Row],[FRUARTTEXT]]</f>
        <v>Grünland 2 Nutzungen</v>
      </c>
    </row>
    <row r="18" spans="1:18">
      <c r="A18" s="228" t="s">
        <v>247</v>
      </c>
      <c r="B18" s="228" t="s">
        <v>248</v>
      </c>
      <c r="C18" s="228" t="s">
        <v>249</v>
      </c>
      <c r="H18" s="228">
        <v>1</v>
      </c>
      <c r="I18" s="228" t="str">
        <f>LEFT(t_Fruchtarten_Nährstoffe[[#This Row],[FRUARTTEXT]],1)</f>
        <v>G</v>
      </c>
      <c r="J18" s="228" t="s">
        <v>250</v>
      </c>
      <c r="K18" s="228" t="s">
        <v>251</v>
      </c>
      <c r="L18" s="228">
        <v>0.71</v>
      </c>
      <c r="M18" s="228">
        <v>2.89</v>
      </c>
      <c r="N18" s="228">
        <v>75</v>
      </c>
      <c r="O18" s="228">
        <v>0.71</v>
      </c>
      <c r="P18" s="228">
        <v>2.89</v>
      </c>
      <c r="R18" s="228" t="str">
        <f>t_Fruchtarten_Nährstoffe[[#This Row],[FRUARTTEXT]]</f>
        <v>Grünland 3 Nutzungen</v>
      </c>
    </row>
    <row r="19" spans="1:18">
      <c r="A19" s="228" t="s">
        <v>252</v>
      </c>
      <c r="B19" s="228" t="s">
        <v>253</v>
      </c>
      <c r="C19" s="228">
        <v>7</v>
      </c>
      <c r="H19" s="228">
        <v>1</v>
      </c>
      <c r="I19" s="228" t="str">
        <f>LEFT(t_Fruchtarten_Nährstoffe[[#This Row],[FRUARTTEXT]],1)</f>
        <v>G</v>
      </c>
      <c r="J19" s="228" t="s">
        <v>254</v>
      </c>
      <c r="K19" s="228" t="s">
        <v>255</v>
      </c>
      <c r="L19" s="228">
        <v>0.81</v>
      </c>
      <c r="M19" s="228">
        <v>3.13</v>
      </c>
      <c r="N19" s="228">
        <v>90</v>
      </c>
      <c r="O19" s="228">
        <v>0.81</v>
      </c>
      <c r="P19" s="228">
        <v>3.13</v>
      </c>
      <c r="R19" s="228" t="str">
        <f>t_Fruchtarten_Nährstoffe[[#This Row],[FRUARTTEXT]]</f>
        <v>Grünland 4 Nutzungen</v>
      </c>
    </row>
    <row r="20" spans="1:18">
      <c r="A20" s="228" t="s">
        <v>256</v>
      </c>
      <c r="B20" s="228" t="s">
        <v>257</v>
      </c>
      <c r="C20" s="228">
        <v>26</v>
      </c>
      <c r="E20" s="228" t="s">
        <v>258</v>
      </c>
      <c r="F20" s="228" t="s">
        <v>241</v>
      </c>
      <c r="H20" s="228">
        <v>1</v>
      </c>
      <c r="I20" s="228" t="str">
        <f>LEFT(t_Fruchtarten_Nährstoffe[[#This Row],[FRUARTTEXT]],1)</f>
        <v>G</v>
      </c>
      <c r="J20" s="228" t="s">
        <v>259</v>
      </c>
      <c r="K20" s="228" t="s">
        <v>260</v>
      </c>
      <c r="L20" s="228">
        <v>0.87</v>
      </c>
      <c r="M20" s="228">
        <v>3.25</v>
      </c>
      <c r="N20" s="228">
        <v>110</v>
      </c>
      <c r="O20" s="228">
        <v>0.87</v>
      </c>
      <c r="P20" s="228">
        <v>3.25</v>
      </c>
      <c r="R20" s="228" t="str">
        <f>t_Fruchtarten_Nährstoffe[[#This Row],[FRUARTTEXT]]</f>
        <v>Grünland 5 Nutzungen</v>
      </c>
    </row>
    <row r="21" spans="1:18">
      <c r="B21" s="228" t="s">
        <v>261</v>
      </c>
      <c r="F21" s="228" t="s">
        <v>53</v>
      </c>
      <c r="H21" s="228">
        <v>1</v>
      </c>
      <c r="I21" s="228" t="str">
        <f>LEFT(t_Fruchtarten_Nährstoffe[[#This Row],[FRUARTTEXT]],1)</f>
        <v>H</v>
      </c>
      <c r="J21" s="228" t="s">
        <v>262</v>
      </c>
      <c r="K21" s="228" t="s">
        <v>263</v>
      </c>
      <c r="L21" s="228">
        <v>0.8</v>
      </c>
      <c r="M21" s="228">
        <v>0.6</v>
      </c>
      <c r="N21" s="228">
        <v>50</v>
      </c>
      <c r="O21" s="228">
        <v>1.1299999999999999</v>
      </c>
      <c r="P21" s="228">
        <v>2.6</v>
      </c>
      <c r="R21" s="228" t="str">
        <f>t_Fruchtarten_Nährstoffe[[#This Row],[FRUARTTEXT]]</f>
        <v>Hafer</v>
      </c>
    </row>
    <row r="22" spans="1:18">
      <c r="I22" s="228" t="str">
        <f>LEFT(t_Fruchtarten_Nährstoffe[[#This Row],[FRUARTTEXT]],1)</f>
        <v>H</v>
      </c>
      <c r="J22" s="228" t="s">
        <v>264</v>
      </c>
      <c r="K22" s="228" t="s">
        <v>265</v>
      </c>
      <c r="L22" s="228">
        <v>0.3</v>
      </c>
      <c r="M22" s="228">
        <v>2</v>
      </c>
      <c r="N22" s="228">
        <v>130</v>
      </c>
      <c r="O22" s="228">
        <v>0.75</v>
      </c>
      <c r="P22" s="228">
        <v>2</v>
      </c>
      <c r="R22" s="228" t="str">
        <f>t_Fruchtarten_Nährstoffe[[#This Row],[FRUARTTEXT]]</f>
        <v>Hanf</v>
      </c>
    </row>
    <row r="23" spans="1:18">
      <c r="A23" s="228" t="s">
        <v>266</v>
      </c>
      <c r="I23" s="228" t="str">
        <f>LEFT(t_Fruchtarten_Nährstoffe[[#This Row],[FRUARTTEXT]],1)</f>
        <v>H</v>
      </c>
      <c r="J23" s="228" t="s">
        <v>267</v>
      </c>
      <c r="K23" s="228" t="s">
        <v>268</v>
      </c>
      <c r="L23" s="228">
        <v>0.04</v>
      </c>
      <c r="M23" s="228">
        <v>0.2</v>
      </c>
      <c r="N23" s="228">
        <v>100</v>
      </c>
      <c r="O23" s="228">
        <v>0.04</v>
      </c>
      <c r="P23" s="228">
        <v>0.2</v>
      </c>
      <c r="R23" s="228" t="str">
        <f>t_Fruchtarten_Nährstoffe[[#This Row],[FRUARTTEXT]]</f>
        <v>Himbeere</v>
      </c>
    </row>
    <row r="24" spans="1:18">
      <c r="I24" s="228" t="str">
        <f>LEFT(t_Fruchtarten_Nährstoffe[[#This Row],[FRUARTTEXT]],1)</f>
        <v>J</v>
      </c>
      <c r="J24" s="228" t="s">
        <v>269</v>
      </c>
      <c r="K24" s="228" t="s">
        <v>270</v>
      </c>
      <c r="L24" s="228">
        <v>0.05</v>
      </c>
      <c r="M24" s="228">
        <v>0.35</v>
      </c>
      <c r="N24" s="228">
        <v>100</v>
      </c>
      <c r="O24" s="228">
        <v>0.05</v>
      </c>
      <c r="P24" s="228">
        <v>0.35</v>
      </c>
      <c r="R24" s="228" t="str">
        <f>t_Fruchtarten_Nährstoffe[[#This Row],[FRUARTTEXT]]</f>
        <v>Johannisbeere</v>
      </c>
    </row>
    <row r="25" spans="1:18">
      <c r="A25" s="228" t="s">
        <v>271</v>
      </c>
      <c r="B25" s="228" t="s">
        <v>272</v>
      </c>
      <c r="I25" s="228" t="str">
        <f>LEFT(t_Fruchtarten_Nährstoffe[[#This Row],[FRUARTTEXT]],1)</f>
        <v>J</v>
      </c>
      <c r="J25" s="228" t="s">
        <v>273</v>
      </c>
      <c r="K25" s="228" t="s">
        <v>274</v>
      </c>
      <c r="L25" s="228">
        <v>0.21</v>
      </c>
      <c r="M25" s="228">
        <v>0.53</v>
      </c>
      <c r="N25" s="228">
        <v>200</v>
      </c>
      <c r="O25" s="228">
        <v>0.21</v>
      </c>
      <c r="P25" s="228">
        <v>0.53</v>
      </c>
      <c r="R25" s="228" t="str">
        <f>t_Fruchtarten_Nährstoffe[[#This Row],[FRUARTTEXT]]</f>
        <v>Johanniskraut</v>
      </c>
    </row>
    <row r="26" spans="1:18">
      <c r="A26" s="228" t="s">
        <v>275</v>
      </c>
      <c r="B26" s="228" t="s">
        <v>276</v>
      </c>
      <c r="H26" s="228">
        <v>1</v>
      </c>
      <c r="I26" s="228" t="str">
        <f>LEFT(t_Fruchtarten_Nährstoffe[[#This Row],[FRUARTTEXT]],1)</f>
        <v>K</v>
      </c>
      <c r="J26" s="228" t="s">
        <v>277</v>
      </c>
      <c r="K26" s="228" t="s">
        <v>278</v>
      </c>
      <c r="L26" s="228">
        <v>0.14000000000000001</v>
      </c>
      <c r="M26" s="228">
        <v>0.6</v>
      </c>
      <c r="N26" s="228">
        <v>400</v>
      </c>
      <c r="O26" s="228">
        <v>0.15</v>
      </c>
      <c r="P26" s="228">
        <v>0.8</v>
      </c>
      <c r="R26" s="228" t="str">
        <f>t_Fruchtarten_Nährstoffe[[#This Row],[FRUARTTEXT]]</f>
        <v>Kartoffeln</v>
      </c>
    </row>
    <row r="27" spans="1:18">
      <c r="A27" s="228" t="s">
        <v>279</v>
      </c>
      <c r="B27" s="228" t="s">
        <v>280</v>
      </c>
      <c r="I27" s="228" t="str">
        <f>LEFT(t_Fruchtarten_Nährstoffe[[#This Row],[FRUARTTEXT]],1)</f>
        <v>K</v>
      </c>
      <c r="J27" s="228" t="s">
        <v>281</v>
      </c>
      <c r="K27" s="228" t="s">
        <v>278</v>
      </c>
      <c r="L27" s="228">
        <v>0.14000000000000001</v>
      </c>
      <c r="M27" s="228">
        <v>0.45</v>
      </c>
      <c r="N27" s="228">
        <v>400</v>
      </c>
      <c r="O27" s="228">
        <v>0.15</v>
      </c>
      <c r="P27" s="228">
        <v>0.65</v>
      </c>
      <c r="R27" s="228" t="str">
        <f>t_Fruchtarten_Nährstoffe[[#This Row],[FRUARTTEXT]]</f>
        <v>Kartoffeln</v>
      </c>
    </row>
    <row r="28" spans="1:18">
      <c r="I28" s="228" t="str">
        <f>LEFT(t_Fruchtarten_Nährstoffe[[#This Row],[FRUARTTEXT]],1)</f>
        <v>K</v>
      </c>
      <c r="J28" s="228" t="s">
        <v>282</v>
      </c>
      <c r="K28" s="228" t="s">
        <v>283</v>
      </c>
      <c r="L28" s="228">
        <v>0.03</v>
      </c>
      <c r="M28" s="228">
        <v>0.19</v>
      </c>
      <c r="N28" s="228">
        <v>400</v>
      </c>
      <c r="O28" s="228">
        <v>0.03</v>
      </c>
      <c r="P28" s="228">
        <v>0.19</v>
      </c>
      <c r="R28" s="228" t="str">
        <f>t_Fruchtarten_Nährstoffe[[#This Row],[FRUARTTEXT]]</f>
        <v>Kernobst</v>
      </c>
    </row>
    <row r="29" spans="1:18">
      <c r="I29" s="228" t="str">
        <f>LEFT(t_Fruchtarten_Nährstoffe[[#This Row],[FRUARTTEXT]],1)</f>
        <v>K</v>
      </c>
      <c r="J29" s="228" t="s">
        <v>284</v>
      </c>
      <c r="K29" s="228" t="s">
        <v>285</v>
      </c>
      <c r="L29" s="228">
        <v>1.46</v>
      </c>
      <c r="M29" s="228">
        <v>1.25</v>
      </c>
      <c r="N29" s="228">
        <v>4</v>
      </c>
      <c r="O29" s="228">
        <v>3.86</v>
      </c>
      <c r="R29" s="228" t="str">
        <f>t_Fruchtarten_Nährstoffe[[#This Row],[FRUARTTEXT]]</f>
        <v>Klee-,Luzerneverm.</v>
      </c>
    </row>
    <row r="30" spans="1:18">
      <c r="I30" s="228" t="str">
        <f>LEFT(t_Fruchtarten_Nährstoffe[[#This Row],[FRUARTTEXT]],1)</f>
        <v>K</v>
      </c>
      <c r="J30" s="228" t="s">
        <v>286</v>
      </c>
      <c r="K30" s="228" t="s">
        <v>287</v>
      </c>
      <c r="L30" s="228">
        <v>0.7</v>
      </c>
      <c r="M30" s="228">
        <v>3.25</v>
      </c>
      <c r="N30" s="228">
        <v>105</v>
      </c>
      <c r="O30" s="228">
        <v>0.7</v>
      </c>
      <c r="P30" s="228">
        <v>3.25</v>
      </c>
      <c r="R30" s="228" t="str">
        <f>t_Fruchtarten_Nährstoffe[[#This Row],[FRUARTTEXT]]</f>
        <v>Kleegras (TM)</v>
      </c>
    </row>
    <row r="31" spans="1:18">
      <c r="A31" s="228" t="s">
        <v>28</v>
      </c>
      <c r="I31" s="228" t="str">
        <f>LEFT(t_Fruchtarten_Nährstoffe[[#This Row],[FRUARTTEXT]],1)</f>
        <v>K</v>
      </c>
      <c r="J31" s="228" t="s">
        <v>288</v>
      </c>
      <c r="K31" s="228" t="s">
        <v>289</v>
      </c>
      <c r="L31" s="228">
        <v>1.46</v>
      </c>
      <c r="M31" s="228">
        <v>1.25</v>
      </c>
      <c r="N31" s="228">
        <v>6</v>
      </c>
      <c r="O31" s="228">
        <v>3.86</v>
      </c>
      <c r="R31" s="228" t="str">
        <f>t_Fruchtarten_Nährstoffe[[#This Row],[FRUARTTEXT]]</f>
        <v>Klee-Luzerneverm.</v>
      </c>
    </row>
    <row r="32" spans="1:18">
      <c r="I32" s="228" t="str">
        <f>LEFT(t_Fruchtarten_Nährstoffe[[#This Row],[FRUARTTEXT]],1)</f>
        <v>K</v>
      </c>
      <c r="J32" s="228" t="s">
        <v>290</v>
      </c>
      <c r="K32" s="228" t="s">
        <v>291</v>
      </c>
      <c r="L32" s="228">
        <v>0.1</v>
      </c>
      <c r="M32" s="228">
        <v>0.42</v>
      </c>
      <c r="N32" s="228">
        <v>450</v>
      </c>
      <c r="O32" s="228">
        <v>0.15</v>
      </c>
      <c r="P32" s="228">
        <v>0.63</v>
      </c>
      <c r="R32" s="228" t="str">
        <f>t_Fruchtarten_Nährstoffe[[#This Row],[FRUARTTEXT]]</f>
        <v>Kohlrabi</v>
      </c>
    </row>
    <row r="33" spans="1:18">
      <c r="A33" s="228" t="s">
        <v>28</v>
      </c>
      <c r="B33" s="228" t="s">
        <v>241</v>
      </c>
      <c r="H33" s="228">
        <v>1</v>
      </c>
      <c r="I33" s="228" t="str">
        <f>LEFT(t_Fruchtarten_Nährstoffe[[#This Row],[FRUARTTEXT]],1)</f>
        <v>K</v>
      </c>
      <c r="J33" s="228" t="s">
        <v>292</v>
      </c>
      <c r="K33" s="228" t="s">
        <v>293</v>
      </c>
      <c r="L33" s="228">
        <v>0.8</v>
      </c>
      <c r="M33" s="228">
        <v>0.5</v>
      </c>
      <c r="N33" s="228">
        <v>80</v>
      </c>
      <c r="O33" s="228">
        <v>1</v>
      </c>
      <c r="P33" s="228">
        <v>2.5</v>
      </c>
      <c r="R33" s="228" t="str">
        <f>t_Fruchtarten_Nährstoffe[[#This Row],[FRUARTTEXT]]</f>
        <v>Körnermais</v>
      </c>
    </row>
    <row r="34" spans="1:18">
      <c r="B34" s="228" t="s">
        <v>53</v>
      </c>
      <c r="I34" s="228" t="str">
        <f>LEFT(t_Fruchtarten_Nährstoffe[[#This Row],[FRUARTTEXT]],1)</f>
        <v>K</v>
      </c>
      <c r="J34" s="228" t="s">
        <v>294</v>
      </c>
      <c r="K34" s="228" t="s">
        <v>295</v>
      </c>
      <c r="L34" s="228">
        <v>1.77</v>
      </c>
      <c r="M34" s="228">
        <v>0.93</v>
      </c>
      <c r="N34" s="228">
        <v>15</v>
      </c>
      <c r="O34" s="228">
        <v>2.37</v>
      </c>
      <c r="R34" s="228" t="str">
        <f>t_Fruchtarten_Nährstoffe[[#This Row],[FRUARTTEXT]]</f>
        <v>Körnersenf</v>
      </c>
    </row>
    <row r="35" spans="1:18">
      <c r="B35" s="228" t="s">
        <v>207</v>
      </c>
      <c r="I35" s="228" t="str">
        <f>LEFT(t_Fruchtarten_Nährstoffe[[#This Row],[FRUARTTEXT]],1)</f>
        <v>L</v>
      </c>
      <c r="J35" s="228" t="s">
        <v>296</v>
      </c>
      <c r="K35" s="228" t="s">
        <v>297</v>
      </c>
      <c r="L35" s="228">
        <v>1.02</v>
      </c>
      <c r="M35" s="228">
        <v>1.34</v>
      </c>
      <c r="N35" s="228">
        <v>20</v>
      </c>
      <c r="O35" s="228">
        <v>1.32</v>
      </c>
      <c r="P35" s="228">
        <v>2.0699999999999998</v>
      </c>
      <c r="R35" s="228" t="str">
        <f>t_Fruchtarten_Nährstoffe[[#This Row],[FRUARTTEXT]]</f>
        <v>Lupine</v>
      </c>
    </row>
    <row r="36" spans="1:18">
      <c r="I36" s="228" t="str">
        <f>LEFT(t_Fruchtarten_Nährstoffe[[#This Row],[FRUARTTEXT]],1)</f>
        <v>L</v>
      </c>
      <c r="J36" s="228" t="s">
        <v>298</v>
      </c>
      <c r="K36" s="228" t="s">
        <v>299</v>
      </c>
      <c r="L36" s="228">
        <v>0.14000000000000001</v>
      </c>
      <c r="M36" s="228">
        <v>0.65</v>
      </c>
      <c r="N36" s="228">
        <v>500</v>
      </c>
      <c r="O36" s="228">
        <v>0.14000000000000001</v>
      </c>
      <c r="P36" s="228">
        <v>0.65</v>
      </c>
      <c r="R36" s="228" t="str">
        <f>t_Fruchtarten_Nährstoffe[[#This Row],[FRUARTTEXT]]</f>
        <v>Luzerne</v>
      </c>
    </row>
    <row r="37" spans="1:18">
      <c r="A37" s="228" t="s">
        <v>300</v>
      </c>
      <c r="I37" s="228" t="str">
        <f>LEFT(t_Fruchtarten_Nährstoffe[[#This Row],[FRUARTTEXT]],1)</f>
        <v>L</v>
      </c>
      <c r="J37" s="228" t="s">
        <v>301</v>
      </c>
      <c r="K37" s="228" t="s">
        <v>302</v>
      </c>
      <c r="L37" s="228">
        <v>0.7</v>
      </c>
      <c r="M37" s="228">
        <v>3.25</v>
      </c>
      <c r="N37" s="228">
        <v>105</v>
      </c>
      <c r="O37" s="228">
        <v>0.7</v>
      </c>
      <c r="P37" s="228">
        <v>3.25</v>
      </c>
      <c r="R37" s="228" t="str">
        <f>t_Fruchtarten_Nährstoffe[[#This Row],[FRUARTTEXT]]</f>
        <v>Luzerne (TM)</v>
      </c>
    </row>
    <row r="38" spans="1:18">
      <c r="I38" s="228" t="str">
        <f>LEFT(t_Fruchtarten_Nährstoffe[[#This Row],[FRUARTTEXT]],1)</f>
        <v>L</v>
      </c>
      <c r="J38" s="228" t="s">
        <v>303</v>
      </c>
      <c r="K38" s="228" t="s">
        <v>304</v>
      </c>
      <c r="L38" s="228">
        <v>0.7</v>
      </c>
      <c r="M38" s="228">
        <v>3.25</v>
      </c>
      <c r="N38" s="228">
        <v>105</v>
      </c>
      <c r="O38" s="228">
        <v>0.7</v>
      </c>
      <c r="P38" s="228">
        <v>3.25</v>
      </c>
      <c r="R38" s="228" t="str">
        <f>t_Fruchtarten_Nährstoffe[[#This Row],[FRUARTTEXT]]</f>
        <v>Luzernegras (TM)</v>
      </c>
    </row>
    <row r="39" spans="1:18">
      <c r="A39" s="228" t="s">
        <v>31</v>
      </c>
      <c r="B39" s="228" t="s">
        <v>241</v>
      </c>
      <c r="H39" s="228">
        <v>1</v>
      </c>
      <c r="I39" s="228" t="str">
        <f>LEFT(t_Fruchtarten_Nährstoffe[[#This Row],[FRUARTTEXT]],1)</f>
        <v>M</v>
      </c>
      <c r="J39" s="228" t="s">
        <v>305</v>
      </c>
      <c r="K39" s="228" t="s">
        <v>306</v>
      </c>
      <c r="L39" s="228">
        <v>1.25</v>
      </c>
      <c r="M39" s="228">
        <v>3.5</v>
      </c>
      <c r="N39" s="228">
        <v>35</v>
      </c>
      <c r="O39" s="228">
        <v>1.25</v>
      </c>
      <c r="P39" s="228">
        <v>3.5</v>
      </c>
      <c r="R39" s="228" t="str">
        <f>t_Fruchtarten_Nährstoffe[[#This Row],[FRUARTTEXT]]</f>
        <v>Mähweide, 1 Schnitt</v>
      </c>
    </row>
    <row r="40" spans="1:18">
      <c r="B40" s="228" t="s">
        <v>53</v>
      </c>
      <c r="H40" s="228">
        <v>1</v>
      </c>
      <c r="I40" s="228" t="str">
        <f>LEFT(t_Fruchtarten_Nährstoffe[[#This Row],[FRUARTTEXT]],1)</f>
        <v>M</v>
      </c>
      <c r="J40" s="228" t="s">
        <v>307</v>
      </c>
      <c r="K40" s="228" t="s">
        <v>308</v>
      </c>
      <c r="L40" s="228">
        <v>1.25</v>
      </c>
      <c r="M40" s="228">
        <v>3.5</v>
      </c>
      <c r="N40" s="228">
        <v>60</v>
      </c>
      <c r="O40" s="228">
        <v>1.25</v>
      </c>
      <c r="P40" s="228">
        <v>3.5</v>
      </c>
      <c r="R40" s="228" t="str">
        <f>t_Fruchtarten_Nährstoffe[[#This Row],[FRUARTTEXT]]</f>
        <v>Mähweide, 2 Schnitte</v>
      </c>
    </row>
    <row r="41" spans="1:18">
      <c r="B41" s="228" t="s">
        <v>207</v>
      </c>
      <c r="H41" s="228">
        <v>1</v>
      </c>
      <c r="I41" s="228" t="str">
        <f>LEFT(t_Fruchtarten_Nährstoffe[[#This Row],[FRUARTTEXT]],1)</f>
        <v>M</v>
      </c>
      <c r="J41" s="228" t="s">
        <v>309</v>
      </c>
      <c r="K41" s="228" t="s">
        <v>310</v>
      </c>
      <c r="L41" s="228">
        <v>1.25</v>
      </c>
      <c r="M41" s="228">
        <v>3.5</v>
      </c>
      <c r="N41" s="228">
        <v>75</v>
      </c>
      <c r="O41" s="228">
        <v>1.25</v>
      </c>
      <c r="P41" s="228">
        <v>3.5</v>
      </c>
      <c r="R41" s="228" t="str">
        <f>t_Fruchtarten_Nährstoffe[[#This Row],[FRUARTTEXT]]</f>
        <v>Mähweide, 3 Schnitte</v>
      </c>
    </row>
    <row r="42" spans="1:18">
      <c r="H42" s="228">
        <v>1</v>
      </c>
      <c r="I42" s="228" t="str">
        <f>LEFT(t_Fruchtarten_Nährstoffe[[#This Row],[FRUARTTEXT]],1)</f>
        <v>M</v>
      </c>
      <c r="J42" s="228" t="s">
        <v>311</v>
      </c>
      <c r="K42" s="228" t="s">
        <v>312</v>
      </c>
      <c r="L42" s="228">
        <v>1.25</v>
      </c>
      <c r="M42" s="228">
        <v>3.5</v>
      </c>
      <c r="N42" s="228">
        <v>90</v>
      </c>
      <c r="O42" s="228">
        <v>1.25</v>
      </c>
      <c r="P42" s="228">
        <v>3.5</v>
      </c>
      <c r="R42" s="228" t="str">
        <f>t_Fruchtarten_Nährstoffe[[#This Row],[FRUARTTEXT]]</f>
        <v>Mähweide, 4 Schnitte</v>
      </c>
    </row>
    <row r="43" spans="1:18">
      <c r="H43" s="228">
        <v>1</v>
      </c>
      <c r="I43" s="228" t="str">
        <f>LEFT(t_Fruchtarten_Nährstoffe[[#This Row],[FRUARTTEXT]],1)</f>
        <v>M</v>
      </c>
      <c r="J43" s="228" t="s">
        <v>313</v>
      </c>
      <c r="K43" s="228" t="s">
        <v>314</v>
      </c>
      <c r="L43" s="228">
        <v>1.25</v>
      </c>
      <c r="M43" s="228">
        <v>3.5</v>
      </c>
      <c r="N43" s="228">
        <v>20</v>
      </c>
      <c r="O43" s="228">
        <v>1.25</v>
      </c>
      <c r="P43" s="228">
        <v>3.5</v>
      </c>
      <c r="R43" s="228" t="str">
        <f>t_Fruchtarten_Nährstoffe[[#This Row],[FRUARTTEXT]]</f>
        <v>Mähweide, extensiv</v>
      </c>
    </row>
    <row r="44" spans="1:18">
      <c r="I44" s="228" t="str">
        <f>LEFT(t_Fruchtarten_Nährstoffe[[#This Row],[FRUARTTEXT]],1)</f>
        <v>M</v>
      </c>
      <c r="J44" s="228" t="s">
        <v>315</v>
      </c>
      <c r="K44" s="228" t="s">
        <v>316</v>
      </c>
      <c r="L44" s="228">
        <v>0.1</v>
      </c>
      <c r="M44" s="228">
        <v>0.42</v>
      </c>
      <c r="N44" s="228">
        <v>650</v>
      </c>
      <c r="O44" s="228">
        <v>0.14000000000000001</v>
      </c>
      <c r="P44" s="228">
        <v>0.56999999999999995</v>
      </c>
      <c r="R44" s="228" t="str">
        <f>t_Fruchtarten_Nährstoffe[[#This Row],[FRUARTTEXT]]</f>
        <v>Mairübe</v>
      </c>
    </row>
    <row r="45" spans="1:18">
      <c r="I45" s="228" t="str">
        <f>LEFT(t_Fruchtarten_Nährstoffe[[#This Row],[FRUARTTEXT]],1)</f>
        <v>M</v>
      </c>
      <c r="J45" s="228" t="s">
        <v>317</v>
      </c>
      <c r="K45" s="228" t="s">
        <v>318</v>
      </c>
      <c r="L45" s="228">
        <v>0.08</v>
      </c>
      <c r="M45" s="228">
        <v>0.53</v>
      </c>
      <c r="N45" s="228">
        <v>600</v>
      </c>
      <c r="O45" s="228">
        <v>0.11</v>
      </c>
      <c r="P45" s="228">
        <v>0.64</v>
      </c>
      <c r="R45" s="228" t="str">
        <f>t_Fruchtarten_Nährstoffe[[#This Row],[FRUARTTEXT]]</f>
        <v>Möhren, Bund-</v>
      </c>
    </row>
    <row r="46" spans="1:18">
      <c r="I46" s="228" t="str">
        <f>LEFT(t_Fruchtarten_Nährstoffe[[#This Row],[FRUARTTEXT]],1)</f>
        <v>M</v>
      </c>
      <c r="J46" s="228" t="s">
        <v>319</v>
      </c>
      <c r="K46" s="228" t="s">
        <v>320</v>
      </c>
      <c r="L46" s="228">
        <v>0.08</v>
      </c>
      <c r="M46" s="228">
        <v>0.42</v>
      </c>
      <c r="N46" s="228">
        <v>700</v>
      </c>
      <c r="O46" s="228">
        <v>0.12</v>
      </c>
      <c r="P46" s="228">
        <v>0.6</v>
      </c>
      <c r="R46" s="228" t="str">
        <f>t_Fruchtarten_Nährstoffe[[#This Row],[FRUARTTEXT]]</f>
        <v>Möhren, Wasch-</v>
      </c>
    </row>
    <row r="47" spans="1:18">
      <c r="I47" s="228" t="str">
        <f>LEFT(t_Fruchtarten_Nährstoffe[[#This Row],[FRUARTTEXT]],1)</f>
        <v>Ö</v>
      </c>
      <c r="J47" s="228" t="s">
        <v>321</v>
      </c>
      <c r="K47" s="228" t="s">
        <v>322</v>
      </c>
      <c r="L47" s="228">
        <v>1.2</v>
      </c>
      <c r="M47" s="228">
        <v>1</v>
      </c>
      <c r="N47" s="228">
        <v>20</v>
      </c>
      <c r="O47" s="228">
        <v>1.5</v>
      </c>
      <c r="P47" s="228">
        <v>3.1</v>
      </c>
      <c r="R47" s="228" t="str">
        <f>t_Fruchtarten_Nährstoffe[[#This Row],[FRUARTTEXT]]</f>
        <v>Öllein</v>
      </c>
    </row>
    <row r="48" spans="1:18">
      <c r="I48" s="228" t="str">
        <f>LEFT(t_Fruchtarten_Nährstoffe[[#This Row],[FRUARTTEXT]],1)</f>
        <v>Ö</v>
      </c>
      <c r="J48" s="228" t="s">
        <v>323</v>
      </c>
      <c r="K48" s="228" t="s">
        <v>324</v>
      </c>
      <c r="L48" s="228">
        <v>1.2</v>
      </c>
      <c r="M48" s="228">
        <v>1</v>
      </c>
      <c r="N48" s="228">
        <v>20</v>
      </c>
      <c r="O48" s="228">
        <v>1.5</v>
      </c>
      <c r="P48" s="228">
        <v>3.1</v>
      </c>
      <c r="R48" s="228" t="str">
        <f>t_Fruchtarten_Nährstoffe[[#This Row],[FRUARTTEXT]]</f>
        <v>Öllein (91 % TS)</v>
      </c>
    </row>
    <row r="49" spans="8:18">
      <c r="I49" s="228" t="str">
        <f>LEFT(t_Fruchtarten_Nährstoffe[[#This Row],[FRUARTTEXT]],1)</f>
        <v>P</v>
      </c>
      <c r="J49" s="228" t="s">
        <v>325</v>
      </c>
      <c r="K49" s="228" t="s">
        <v>326</v>
      </c>
      <c r="L49" s="228">
        <v>0.08</v>
      </c>
      <c r="M49" s="228">
        <v>0.36</v>
      </c>
      <c r="N49" s="228">
        <v>500</v>
      </c>
      <c r="O49" s="228">
        <v>0.14000000000000001</v>
      </c>
      <c r="P49" s="228">
        <v>0.8</v>
      </c>
      <c r="R49" s="228" t="str">
        <f>t_Fruchtarten_Nährstoffe[[#This Row],[FRUARTTEXT]]</f>
        <v>Porree</v>
      </c>
    </row>
    <row r="50" spans="8:18">
      <c r="I50" s="228" t="str">
        <f>LEFT(t_Fruchtarten_Nährstoffe[[#This Row],[FRUARTTEXT]],1)</f>
        <v>R</v>
      </c>
      <c r="J50" s="228" t="s">
        <v>327</v>
      </c>
      <c r="K50" s="228" t="s">
        <v>328</v>
      </c>
      <c r="L50" s="228">
        <v>7.0000000000000007E-2</v>
      </c>
      <c r="M50" s="228">
        <v>0.34</v>
      </c>
      <c r="N50" s="228">
        <v>300</v>
      </c>
      <c r="O50" s="228">
        <v>0.1</v>
      </c>
      <c r="P50" s="228">
        <v>0.48</v>
      </c>
      <c r="R50" s="228" t="str">
        <f>t_Fruchtarten_Nährstoffe[[#This Row],[FRUARTTEXT]]</f>
        <v>Radies</v>
      </c>
    </row>
    <row r="51" spans="8:18">
      <c r="I51" s="228" t="str">
        <f>LEFT(t_Fruchtarten_Nährstoffe[[#This Row],[FRUARTTEXT]],1)</f>
        <v>S</v>
      </c>
      <c r="J51" s="228" t="s">
        <v>329</v>
      </c>
      <c r="K51" s="228" t="s">
        <v>330</v>
      </c>
      <c r="L51" s="228">
        <v>0.13</v>
      </c>
      <c r="M51" s="228">
        <v>0.56999999999999995</v>
      </c>
      <c r="N51" s="228">
        <v>600</v>
      </c>
      <c r="O51" s="228">
        <v>0.14000000000000001</v>
      </c>
      <c r="P51" s="228">
        <v>0.61</v>
      </c>
      <c r="R51" s="228" t="str">
        <f>t_Fruchtarten_Nährstoffe[[#This Row],[FRUARTTEXT]]</f>
        <v>Sellerie</v>
      </c>
    </row>
    <row r="52" spans="8:18">
      <c r="I52" s="228" t="str">
        <f>LEFT(t_Fruchtarten_Nährstoffe[[#This Row],[FRUARTTEXT]],1)</f>
        <v>S</v>
      </c>
      <c r="J52" s="228" t="s">
        <v>331</v>
      </c>
      <c r="K52" s="228" t="s">
        <v>332</v>
      </c>
      <c r="L52" s="228">
        <v>0.13</v>
      </c>
      <c r="M52" s="228">
        <v>0.56999999999999995</v>
      </c>
      <c r="N52" s="228">
        <v>600</v>
      </c>
      <c r="O52" s="228">
        <v>0.14000000000000001</v>
      </c>
      <c r="P52" s="228">
        <v>0.61</v>
      </c>
      <c r="R52" s="228" t="str">
        <f>t_Fruchtarten_Nährstoffe[[#This Row],[FRUARTTEXT]]</f>
        <v>Sellerie, Bund-</v>
      </c>
    </row>
    <row r="53" spans="8:18">
      <c r="I53" s="228" t="str">
        <f>LEFT(t_Fruchtarten_Nährstoffe[[#This Row],[FRUARTTEXT]],1)</f>
        <v>S</v>
      </c>
      <c r="J53" s="228" t="s">
        <v>333</v>
      </c>
      <c r="K53" s="228" t="s">
        <v>334</v>
      </c>
      <c r="L53" s="228">
        <v>0.15</v>
      </c>
      <c r="M53" s="228">
        <v>0.54</v>
      </c>
      <c r="N53" s="228">
        <v>500</v>
      </c>
      <c r="O53" s="228">
        <v>0.21</v>
      </c>
      <c r="P53" s="228">
        <v>0.92</v>
      </c>
      <c r="R53" s="228" t="str">
        <f>t_Fruchtarten_Nährstoffe[[#This Row],[FRUARTTEXT]]</f>
        <v>Sellerie, Knollen-</v>
      </c>
    </row>
    <row r="54" spans="8:18">
      <c r="I54" s="228" t="str">
        <f>LEFT(t_Fruchtarten_Nährstoffe[[#This Row],[FRUARTTEXT]],1)</f>
        <v>S</v>
      </c>
      <c r="J54" s="228" t="s">
        <v>335</v>
      </c>
      <c r="K54" s="228" t="s">
        <v>336</v>
      </c>
      <c r="L54" s="228">
        <v>0.12</v>
      </c>
      <c r="M54" s="228">
        <v>0.54</v>
      </c>
      <c r="N54" s="228">
        <v>500</v>
      </c>
      <c r="O54" s="228">
        <v>0.18</v>
      </c>
      <c r="P54" s="228">
        <v>0.99</v>
      </c>
      <c r="R54" s="228" t="str">
        <f>t_Fruchtarten_Nährstoffe[[#This Row],[FRUARTTEXT]]</f>
        <v>Sellerie, Stangen-</v>
      </c>
    </row>
    <row r="55" spans="8:18">
      <c r="H55" s="228">
        <v>1</v>
      </c>
      <c r="I55" s="228" t="str">
        <f>LEFT(t_Fruchtarten_Nährstoffe[[#This Row],[FRUARTTEXT]],1)</f>
        <v>S</v>
      </c>
      <c r="J55" s="228" t="s">
        <v>337</v>
      </c>
      <c r="K55" s="228" t="s">
        <v>338</v>
      </c>
      <c r="L55" s="228">
        <v>0.16</v>
      </c>
      <c r="M55" s="228">
        <v>0.45</v>
      </c>
      <c r="N55" s="228">
        <v>500</v>
      </c>
      <c r="O55" s="228">
        <v>0.16</v>
      </c>
      <c r="P55" s="228">
        <v>0.45</v>
      </c>
      <c r="R55" s="228" t="str">
        <f>t_Fruchtarten_Nährstoffe[[#This Row],[FRUARTTEXT]]</f>
        <v>Silomais</v>
      </c>
    </row>
    <row r="56" spans="8:18">
      <c r="I56" s="228" t="str">
        <f>LEFT(t_Fruchtarten_Nährstoffe[[#This Row],[FRUARTTEXT]],1)</f>
        <v>S</v>
      </c>
      <c r="J56" s="228" t="s">
        <v>339</v>
      </c>
      <c r="K56" s="228" t="s">
        <v>340</v>
      </c>
      <c r="L56" s="228">
        <v>0.56999999999999995</v>
      </c>
      <c r="M56" s="228">
        <v>1.61</v>
      </c>
      <c r="N56" s="228">
        <v>110</v>
      </c>
      <c r="O56" s="228">
        <v>0.56999999999999995</v>
      </c>
      <c r="P56" s="228">
        <v>1.61</v>
      </c>
      <c r="R56" s="228" t="str">
        <f>t_Fruchtarten_Nährstoffe[[#This Row],[FRUARTTEXT]]</f>
        <v>Silomais (TM)</v>
      </c>
    </row>
    <row r="57" spans="8:18">
      <c r="I57" s="228" t="str">
        <f>LEFT(t_Fruchtarten_Nährstoffe[[#This Row],[FRUARTTEXT]],1)</f>
        <v>S</v>
      </c>
      <c r="J57" s="228" t="s">
        <v>341</v>
      </c>
      <c r="K57" s="228" t="s">
        <v>342</v>
      </c>
      <c r="L57" s="228">
        <v>1.5</v>
      </c>
      <c r="M57" s="228">
        <v>1.7</v>
      </c>
      <c r="N57" s="228">
        <v>25</v>
      </c>
      <c r="O57" s="228">
        <v>1.8</v>
      </c>
      <c r="P57" s="228">
        <v>5.7</v>
      </c>
      <c r="R57" s="228" t="str">
        <f>t_Fruchtarten_Nährstoffe[[#This Row],[FRUARTTEXT]]</f>
        <v>Sojabohnen</v>
      </c>
    </row>
    <row r="58" spans="8:18">
      <c r="H58" s="228">
        <v>1</v>
      </c>
      <c r="I58" s="228" t="str">
        <f>LEFT(t_Fruchtarten_Nährstoffe[[#This Row],[FRUARTTEXT]],1)</f>
        <v>S</v>
      </c>
      <c r="J58" s="228" t="s">
        <v>343</v>
      </c>
      <c r="K58" s="228" t="s">
        <v>344</v>
      </c>
      <c r="L58" s="228">
        <v>0.8</v>
      </c>
      <c r="M58" s="228">
        <v>0.6</v>
      </c>
      <c r="N58" s="228">
        <v>50</v>
      </c>
      <c r="O58" s="228">
        <v>1.01</v>
      </c>
      <c r="P58" s="228">
        <v>2.2999999999999998</v>
      </c>
      <c r="R58" s="228" t="str">
        <f>t_Fruchtarten_Nährstoffe[[#This Row],[FRUARTTEXT]]</f>
        <v>Sommerbraugerste</v>
      </c>
    </row>
    <row r="59" spans="8:18">
      <c r="H59" s="228">
        <v>1</v>
      </c>
      <c r="I59" s="228" t="str">
        <f>LEFT(t_Fruchtarten_Nährstoffe[[#This Row],[FRUARTTEXT]],1)</f>
        <v>S</v>
      </c>
      <c r="J59" s="228" t="s">
        <v>345</v>
      </c>
      <c r="K59" s="228" t="s">
        <v>346</v>
      </c>
      <c r="L59" s="228">
        <v>0.8</v>
      </c>
      <c r="M59" s="228">
        <v>0.6</v>
      </c>
      <c r="N59" s="228">
        <v>50</v>
      </c>
      <c r="O59" s="228">
        <v>1.04</v>
      </c>
      <c r="P59" s="228">
        <v>2.2999999999999998</v>
      </c>
      <c r="R59" s="228" t="str">
        <f>t_Fruchtarten_Nährstoffe[[#This Row],[FRUARTTEXT]]</f>
        <v>Sommergerste (Fut.)</v>
      </c>
    </row>
    <row r="60" spans="8:18">
      <c r="H60" s="228">
        <v>1</v>
      </c>
      <c r="I60" s="228" t="str">
        <f>LEFT(t_Fruchtarten_Nährstoffe[[#This Row],[FRUARTTEXT]],1)</f>
        <v>S</v>
      </c>
      <c r="J60" s="228" t="s">
        <v>347</v>
      </c>
      <c r="K60" s="228" t="s">
        <v>348</v>
      </c>
      <c r="L60" s="228">
        <v>1.8</v>
      </c>
      <c r="M60" s="228">
        <v>1</v>
      </c>
      <c r="N60" s="228">
        <v>25</v>
      </c>
      <c r="O60" s="228">
        <v>2.48</v>
      </c>
      <c r="P60" s="228">
        <v>5</v>
      </c>
      <c r="R60" s="228" t="str">
        <f>t_Fruchtarten_Nährstoffe[[#This Row],[FRUARTTEXT]]</f>
        <v>Sommerraps</v>
      </c>
    </row>
    <row r="61" spans="8:18">
      <c r="H61" s="228">
        <v>1</v>
      </c>
      <c r="I61" s="228" t="str">
        <f>LEFT(t_Fruchtarten_Nährstoffe[[#This Row],[FRUARTTEXT]],1)</f>
        <v>S</v>
      </c>
      <c r="J61" s="228" t="s">
        <v>349</v>
      </c>
      <c r="K61" s="228" t="s">
        <v>350</v>
      </c>
      <c r="L61" s="228">
        <v>0.8</v>
      </c>
      <c r="M61" s="228">
        <v>0.6</v>
      </c>
      <c r="N61" s="228">
        <v>50</v>
      </c>
      <c r="O61" s="228">
        <v>1.07</v>
      </c>
      <c r="P61" s="228">
        <v>2.6</v>
      </c>
      <c r="R61" s="228" t="str">
        <f>t_Fruchtarten_Nährstoffe[[#This Row],[FRUARTTEXT]]</f>
        <v>Sommerroggen</v>
      </c>
    </row>
    <row r="62" spans="8:18">
      <c r="H62" s="228">
        <v>1</v>
      </c>
      <c r="I62" s="228" t="str">
        <f>LEFT(t_Fruchtarten_Nährstoffe[[#This Row],[FRUARTTEXT]],1)</f>
        <v>S</v>
      </c>
      <c r="J62" s="228" t="s">
        <v>351</v>
      </c>
      <c r="K62" s="228" t="s">
        <v>352</v>
      </c>
      <c r="L62" s="228">
        <v>0.8</v>
      </c>
      <c r="M62" s="228">
        <v>0.6</v>
      </c>
      <c r="N62" s="228">
        <v>60</v>
      </c>
      <c r="O62" s="228">
        <v>1.04</v>
      </c>
      <c r="P62" s="228">
        <v>2</v>
      </c>
      <c r="R62" s="228" t="str">
        <f>t_Fruchtarten_Nährstoffe[[#This Row],[FRUARTTEXT]]</f>
        <v>Sommerweizen</v>
      </c>
    </row>
    <row r="63" spans="8:18">
      <c r="H63" s="228">
        <v>1</v>
      </c>
      <c r="I63" s="228" t="str">
        <f>LEFT(t_Fruchtarten_Nährstoffe[[#This Row],[FRUARTTEXT]],1)</f>
        <v>S</v>
      </c>
      <c r="J63" s="228" t="s">
        <v>353</v>
      </c>
      <c r="K63" s="228" t="s">
        <v>354</v>
      </c>
      <c r="L63" s="228">
        <v>1.6</v>
      </c>
      <c r="M63" s="228">
        <v>2.4</v>
      </c>
      <c r="N63" s="228">
        <v>27</v>
      </c>
      <c r="O63" s="228">
        <v>3.4</v>
      </c>
      <c r="P63" s="228">
        <v>11.4</v>
      </c>
      <c r="R63" s="228" t="str">
        <f>t_Fruchtarten_Nährstoffe[[#This Row],[FRUARTTEXT]]</f>
        <v>Sonnenblumen</v>
      </c>
    </row>
    <row r="64" spans="8:18">
      <c r="I64" s="228" t="str">
        <f>LEFT(t_Fruchtarten_Nährstoffe[[#This Row],[FRUARTTEXT]],1)</f>
        <v>S</v>
      </c>
      <c r="J64" s="228" t="s">
        <v>355</v>
      </c>
      <c r="K64" s="228" t="s">
        <v>356</v>
      </c>
      <c r="L64" s="228">
        <v>0.08</v>
      </c>
      <c r="M64" s="228">
        <v>0.24</v>
      </c>
      <c r="N64" s="228">
        <v>80</v>
      </c>
      <c r="O64" s="228">
        <v>0.3</v>
      </c>
      <c r="P64" s="228">
        <v>0.98</v>
      </c>
      <c r="R64" s="228" t="str">
        <f>t_Fruchtarten_Nährstoffe[[#This Row],[FRUARTTEXT]]</f>
        <v>Spargel</v>
      </c>
    </row>
    <row r="65" spans="8:18">
      <c r="I65" s="228" t="str">
        <f>LEFT(t_Fruchtarten_Nährstoffe[[#This Row],[FRUARTTEXT]],1)</f>
        <v>S</v>
      </c>
      <c r="J65" s="228" t="s">
        <v>357</v>
      </c>
      <c r="K65" s="228" t="s">
        <v>356</v>
      </c>
      <c r="L65" s="228">
        <v>1</v>
      </c>
      <c r="M65" s="228">
        <v>1</v>
      </c>
      <c r="N65" s="228">
        <v>1</v>
      </c>
      <c r="O65" s="228">
        <v>0.3</v>
      </c>
      <c r="P65" s="228">
        <v>1.25</v>
      </c>
      <c r="R65" s="228" t="str">
        <f>t_Fruchtarten_Nährstoffe[[#This Row],[FRUARTTEXT]]</f>
        <v>Spargel</v>
      </c>
    </row>
    <row r="66" spans="8:18">
      <c r="I66" s="228" t="str">
        <f>LEFT(t_Fruchtarten_Nährstoffe[[#This Row],[FRUARTTEXT]],1)</f>
        <v>S</v>
      </c>
      <c r="J66" s="228" t="s">
        <v>358</v>
      </c>
      <c r="K66" s="228" t="s">
        <v>359</v>
      </c>
      <c r="L66" s="228">
        <v>0.06</v>
      </c>
      <c r="M66" s="228">
        <v>0.3</v>
      </c>
      <c r="N66" s="228">
        <v>200</v>
      </c>
      <c r="O66" s="228">
        <v>0.06</v>
      </c>
      <c r="P66" s="228">
        <v>0.3</v>
      </c>
      <c r="R66" s="228" t="str">
        <f>t_Fruchtarten_Nährstoffe[[#This Row],[FRUARTTEXT]]</f>
        <v>Steinobst</v>
      </c>
    </row>
    <row r="67" spans="8:18">
      <c r="H67" s="228">
        <v>1</v>
      </c>
      <c r="I67" s="228" t="str">
        <f>LEFT(t_Fruchtarten_Nährstoffe[[#This Row],[FRUARTTEXT]],1)</f>
        <v>T</v>
      </c>
      <c r="J67" s="228" t="s">
        <v>360</v>
      </c>
      <c r="K67" s="228" t="s">
        <v>361</v>
      </c>
      <c r="L67" s="228">
        <v>0.8</v>
      </c>
      <c r="M67" s="228">
        <v>0.6</v>
      </c>
      <c r="N67" s="228">
        <v>60</v>
      </c>
      <c r="O67" s="228">
        <v>1.07</v>
      </c>
      <c r="P67" s="228">
        <v>2.2999999999999998</v>
      </c>
      <c r="R67" s="228" t="str">
        <f>t_Fruchtarten_Nährstoffe[[#This Row],[FRUARTTEXT]]</f>
        <v>Triticale</v>
      </c>
    </row>
    <row r="68" spans="8:18">
      <c r="H68" s="228">
        <v>1</v>
      </c>
      <c r="I68" s="228" t="str">
        <f>LEFT(t_Fruchtarten_Nährstoffe[[#This Row],[FRUARTTEXT]],1)</f>
        <v>W</v>
      </c>
      <c r="J68" s="228" t="s">
        <v>362</v>
      </c>
      <c r="K68" s="228" t="s">
        <v>363</v>
      </c>
      <c r="L68" s="228">
        <v>7</v>
      </c>
      <c r="M68" s="228">
        <v>10</v>
      </c>
      <c r="N68" s="228">
        <v>3</v>
      </c>
      <c r="O68" s="228">
        <v>7</v>
      </c>
      <c r="P68" s="228">
        <v>10</v>
      </c>
      <c r="R68" s="228" t="str">
        <f>t_Fruchtarten_Nährstoffe[[#This Row],[FRUARTTEXT]]</f>
        <v>Weide</v>
      </c>
    </row>
    <row r="69" spans="8:18">
      <c r="H69" s="228">
        <v>1</v>
      </c>
      <c r="I69" s="228" t="str">
        <f>LEFT(t_Fruchtarten_Nährstoffe[[#This Row],[FRUARTTEXT]],1)</f>
        <v>W</v>
      </c>
      <c r="J69" s="228" t="s">
        <v>364</v>
      </c>
      <c r="K69" s="228" t="s">
        <v>365</v>
      </c>
      <c r="L69" s="228">
        <v>0.8</v>
      </c>
      <c r="M69" s="228">
        <v>0.6</v>
      </c>
      <c r="N69" s="228">
        <v>60</v>
      </c>
      <c r="O69" s="228">
        <v>1.1000000000000001</v>
      </c>
      <c r="P69" s="228">
        <v>2.2999999999999998</v>
      </c>
      <c r="R69" s="228" t="str">
        <f>t_Fruchtarten_Nährstoffe[[#This Row],[FRUARTTEXT]]</f>
        <v>Winterbraugerste</v>
      </c>
    </row>
    <row r="70" spans="8:18">
      <c r="H70" s="228">
        <v>1</v>
      </c>
      <c r="I70" s="228" t="str">
        <f>LEFT(t_Fruchtarten_Nährstoffe[[#This Row],[FRUARTTEXT]],1)</f>
        <v>W</v>
      </c>
      <c r="J70" s="228" t="s">
        <v>366</v>
      </c>
      <c r="K70" s="228" t="s">
        <v>367</v>
      </c>
      <c r="L70" s="228">
        <v>0.8</v>
      </c>
      <c r="M70" s="228">
        <v>0.6</v>
      </c>
      <c r="N70" s="228">
        <v>60</v>
      </c>
      <c r="O70" s="228">
        <v>1.1000000000000001</v>
      </c>
      <c r="P70" s="228">
        <v>2</v>
      </c>
      <c r="R70" s="228" t="str">
        <f>t_Fruchtarten_Nährstoffe[[#This Row],[FRUARTTEXT]]</f>
        <v>Winterbrauweizen</v>
      </c>
    </row>
    <row r="71" spans="8:18">
      <c r="H71" s="228">
        <v>1</v>
      </c>
      <c r="I71" s="228" t="str">
        <f>LEFT(t_Fruchtarten_Nährstoffe[[#This Row],[FRUARTTEXT]],1)</f>
        <v>W</v>
      </c>
      <c r="J71" s="228" t="s">
        <v>368</v>
      </c>
      <c r="K71" s="228" t="s">
        <v>369</v>
      </c>
      <c r="L71" s="228">
        <v>0.8</v>
      </c>
      <c r="M71" s="228">
        <v>0.6</v>
      </c>
      <c r="N71" s="228">
        <v>70</v>
      </c>
      <c r="O71" s="228">
        <v>1.01</v>
      </c>
      <c r="P71" s="228">
        <v>1.8</v>
      </c>
      <c r="R71" s="228" t="str">
        <f>t_Fruchtarten_Nährstoffe[[#This Row],[FRUARTTEXT]]</f>
        <v>Wintergerste</v>
      </c>
    </row>
    <row r="72" spans="8:18">
      <c r="H72" s="228">
        <v>1</v>
      </c>
      <c r="I72" s="228" t="str">
        <f>LEFT(t_Fruchtarten_Nährstoffe[[#This Row],[FRUARTTEXT]],1)</f>
        <v>W</v>
      </c>
      <c r="J72" s="228" t="s">
        <v>370</v>
      </c>
      <c r="K72" s="228" t="s">
        <v>371</v>
      </c>
      <c r="L72" s="228">
        <v>1.8</v>
      </c>
      <c r="M72" s="228">
        <v>1</v>
      </c>
      <c r="N72" s="228">
        <v>40</v>
      </c>
      <c r="O72" s="228">
        <v>2.48</v>
      </c>
      <c r="P72" s="228">
        <v>5.27</v>
      </c>
      <c r="R72" s="228" t="str">
        <f>t_Fruchtarten_Nährstoffe[[#This Row],[FRUARTTEXT]]</f>
        <v>Winterraps</v>
      </c>
    </row>
    <row r="73" spans="8:18">
      <c r="H73" s="228">
        <v>1</v>
      </c>
      <c r="I73" s="228" t="str">
        <f>LEFT(t_Fruchtarten_Nährstoffe[[#This Row],[FRUARTTEXT]],1)</f>
        <v>W</v>
      </c>
      <c r="J73" s="228" t="s">
        <v>372</v>
      </c>
      <c r="K73" s="228" t="s">
        <v>373</v>
      </c>
      <c r="L73" s="228">
        <v>0.8</v>
      </c>
      <c r="M73" s="228">
        <v>0.6</v>
      </c>
      <c r="N73" s="228">
        <v>55</v>
      </c>
      <c r="O73" s="228">
        <v>1.07</v>
      </c>
      <c r="P73" s="228">
        <v>2.4</v>
      </c>
      <c r="R73" s="228" t="str">
        <f>t_Fruchtarten_Nährstoffe[[#This Row],[FRUARTTEXT]]</f>
        <v>Winterroggen</v>
      </c>
    </row>
    <row r="74" spans="8:18">
      <c r="H74" s="228">
        <v>1</v>
      </c>
      <c r="I74" s="228" t="str">
        <f>LEFT(t_Fruchtarten_Nährstoffe[[#This Row],[FRUARTTEXT]],1)</f>
        <v>W</v>
      </c>
      <c r="J74" s="228" t="s">
        <v>374</v>
      </c>
      <c r="K74" s="228" t="s">
        <v>375</v>
      </c>
      <c r="L74" s="228">
        <v>0.8</v>
      </c>
      <c r="M74" s="228">
        <v>0.6</v>
      </c>
      <c r="N74" s="228">
        <v>75</v>
      </c>
      <c r="O74" s="228">
        <v>1.04</v>
      </c>
      <c r="P74" s="228">
        <v>1.72</v>
      </c>
      <c r="R74" s="228" t="str">
        <f>t_Fruchtarten_Nährstoffe[[#This Row],[FRUARTTEXT]]</f>
        <v>Winterweizen</v>
      </c>
    </row>
    <row r="75" spans="8:18">
      <c r="H75" s="228">
        <v>1</v>
      </c>
      <c r="I75" s="228" t="str">
        <f>LEFT(t_Fruchtarten_Nährstoffe[[#This Row],[FRUARTTEXT]],1)</f>
        <v>Z</v>
      </c>
      <c r="J75" s="228" t="s">
        <v>376</v>
      </c>
      <c r="K75" s="228" t="s">
        <v>377</v>
      </c>
      <c r="L75" s="228">
        <v>0.1</v>
      </c>
      <c r="M75" s="228">
        <v>0.25</v>
      </c>
      <c r="N75" s="228">
        <v>500</v>
      </c>
      <c r="O75" s="228">
        <v>0.18</v>
      </c>
      <c r="P75" s="228">
        <v>0.75</v>
      </c>
      <c r="R75" s="228" t="str">
        <f>t_Fruchtarten_Nährstoffe[[#This Row],[FRUARTTEXT]]</f>
        <v>Zuckerrüben</v>
      </c>
    </row>
    <row r="76" spans="8:18">
      <c r="I76" s="228" t="str">
        <f>LEFT(t_Fruchtarten_Nährstoffe[[#This Row],[FRUARTTEXT]],1)</f>
        <v>Z</v>
      </c>
      <c r="J76" s="228" t="s">
        <v>378</v>
      </c>
      <c r="K76" s="228" t="s">
        <v>379</v>
      </c>
      <c r="L76" s="228">
        <v>0.06</v>
      </c>
      <c r="M76" s="228">
        <v>0.24</v>
      </c>
      <c r="N76" s="228">
        <v>680</v>
      </c>
      <c r="O76" s="228">
        <v>0.09</v>
      </c>
      <c r="P76" s="228">
        <v>0.35</v>
      </c>
      <c r="R76" s="228" t="str">
        <f>t_Fruchtarten_Nährstoffe[[#This Row],[FRUARTTEXT]]</f>
        <v>Zwiebel, Bund-, früh</v>
      </c>
    </row>
    <row r="77" spans="8:18">
      <c r="I77" s="228" t="str">
        <f>LEFT(t_Fruchtarten_Nährstoffe[[#This Row],[FRUARTTEXT]],1)</f>
        <v>Z</v>
      </c>
      <c r="J77" s="228" t="s">
        <v>380</v>
      </c>
      <c r="K77" s="228" t="s">
        <v>381</v>
      </c>
      <c r="L77" s="228">
        <v>0.06</v>
      </c>
      <c r="M77" s="228">
        <v>0.24</v>
      </c>
      <c r="N77" s="228">
        <v>400</v>
      </c>
      <c r="O77" s="228">
        <v>0.14000000000000001</v>
      </c>
      <c r="P77" s="228">
        <v>0.51</v>
      </c>
      <c r="R77" s="228" t="str">
        <f>t_Fruchtarten_Nährstoffe[[#This Row],[FRUARTTEXT]]</f>
        <v>Zwiebel, Bund-, wint</v>
      </c>
    </row>
  </sheetData>
  <pageMargins left="0.7" right="0.7" top="0.78740157499999996" bottom="0.78740157499999996" header="0.3" footer="0.3"/>
  <pageSetup paperSize="9" orientation="portrait" r:id="rId1"/>
  <tableParts count="10">
    <tablePart r:id="rId2"/>
    <tablePart r:id="rId3"/>
    <tablePart r:id="rId4"/>
    <tablePart r:id="rId5"/>
    <tablePart r:id="rId6"/>
    <tablePart r:id="rId7"/>
    <tablePart r:id="rId8"/>
    <tablePart r:id="rId9"/>
    <tablePart r:id="rId10"/>
    <tablePart r:id="rId1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tabColor rgb="FF002060"/>
  </sheetPr>
  <dimension ref="A1:E14"/>
  <sheetViews>
    <sheetView topLeftCell="A11" workbookViewId="0">
      <selection activeCell="A15" sqref="A15"/>
    </sheetView>
  </sheetViews>
  <sheetFormatPr baseColWidth="10" defaultColWidth="11.42578125" defaultRowHeight="15"/>
  <cols>
    <col min="1" max="1" width="15.7109375" customWidth="1"/>
    <col min="2" max="2" width="95.42578125" style="194" customWidth="1"/>
    <col min="3" max="3" width="21.28515625" style="194" customWidth="1"/>
    <col min="4" max="4" width="11.42578125" style="170"/>
    <col min="5" max="5" width="31.42578125" style="195" customWidth="1"/>
  </cols>
  <sheetData>
    <row r="1" spans="1:5">
      <c r="A1" s="200" t="s">
        <v>382</v>
      </c>
      <c r="B1" s="244" t="s">
        <v>383</v>
      </c>
      <c r="C1" s="244" t="s">
        <v>384</v>
      </c>
      <c r="D1" s="245" t="s">
        <v>155</v>
      </c>
      <c r="E1" s="246" t="s">
        <v>385</v>
      </c>
    </row>
    <row r="2" spans="1:5">
      <c r="A2" s="200" t="s">
        <v>386</v>
      </c>
      <c r="B2" s="244" t="s">
        <v>387</v>
      </c>
      <c r="C2" s="244" t="s">
        <v>388</v>
      </c>
      <c r="D2" s="245">
        <v>45212</v>
      </c>
      <c r="E2" s="246" t="s">
        <v>389</v>
      </c>
    </row>
    <row r="3" spans="1:5">
      <c r="A3" s="200" t="s">
        <v>390</v>
      </c>
      <c r="B3" s="244" t="s">
        <v>391</v>
      </c>
      <c r="C3" s="244" t="s">
        <v>388</v>
      </c>
      <c r="D3" s="245">
        <v>45210</v>
      </c>
      <c r="E3" s="246" t="s">
        <v>389</v>
      </c>
    </row>
    <row r="4" spans="1:5">
      <c r="A4" s="200" t="s">
        <v>392</v>
      </c>
      <c r="B4" s="244" t="s">
        <v>393</v>
      </c>
      <c r="C4" s="244" t="s">
        <v>337</v>
      </c>
      <c r="D4" s="245">
        <v>45210</v>
      </c>
      <c r="E4" s="246" t="s">
        <v>389</v>
      </c>
    </row>
    <row r="5" spans="1:5">
      <c r="A5" s="200" t="s">
        <v>394</v>
      </c>
      <c r="B5" s="244" t="s">
        <v>395</v>
      </c>
      <c r="C5" s="244" t="s">
        <v>388</v>
      </c>
      <c r="D5" s="245">
        <v>45210</v>
      </c>
      <c r="E5" s="246" t="s">
        <v>389</v>
      </c>
    </row>
    <row r="6" spans="1:5">
      <c r="A6" s="200" t="s">
        <v>948</v>
      </c>
      <c r="B6" s="244" t="s">
        <v>946</v>
      </c>
      <c r="C6" s="244" t="s">
        <v>947</v>
      </c>
      <c r="D6" s="245">
        <v>45243</v>
      </c>
      <c r="E6" s="246" t="s">
        <v>389</v>
      </c>
    </row>
    <row r="7" spans="1:5">
      <c r="A7" s="247" t="s">
        <v>390</v>
      </c>
      <c r="B7" s="244" t="s">
        <v>964</v>
      </c>
      <c r="C7" s="244" t="s">
        <v>947</v>
      </c>
      <c r="D7" s="245">
        <v>45257</v>
      </c>
      <c r="E7" s="246" t="s">
        <v>965</v>
      </c>
    </row>
    <row r="8" spans="1:5" ht="70.5" customHeight="1">
      <c r="A8" s="247" t="s">
        <v>967</v>
      </c>
      <c r="B8" s="244" t="s">
        <v>980</v>
      </c>
      <c r="C8" s="244" t="s">
        <v>947</v>
      </c>
      <c r="D8" s="245">
        <v>45303</v>
      </c>
      <c r="E8" s="246" t="s">
        <v>968</v>
      </c>
    </row>
    <row r="9" spans="1:5" ht="231" customHeight="1">
      <c r="A9" s="247" t="s">
        <v>978</v>
      </c>
      <c r="B9" s="244" t="s">
        <v>984</v>
      </c>
      <c r="C9" s="244" t="s">
        <v>947</v>
      </c>
      <c r="D9" s="254" t="s">
        <v>985</v>
      </c>
      <c r="E9" s="248" t="s">
        <v>977</v>
      </c>
    </row>
    <row r="10" spans="1:5" ht="75">
      <c r="A10" s="247" t="s">
        <v>386</v>
      </c>
      <c r="B10" s="244" t="s">
        <v>981</v>
      </c>
      <c r="C10" s="244" t="s">
        <v>947</v>
      </c>
      <c r="D10" s="245">
        <v>45554</v>
      </c>
      <c r="E10" s="246" t="s">
        <v>982</v>
      </c>
    </row>
    <row r="11" spans="1:5" ht="30">
      <c r="A11" s="247" t="s">
        <v>1003</v>
      </c>
      <c r="B11" s="244" t="s">
        <v>987</v>
      </c>
      <c r="C11" s="244" t="s">
        <v>947</v>
      </c>
      <c r="D11" s="245">
        <v>45631</v>
      </c>
      <c r="E11" s="246" t="s">
        <v>982</v>
      </c>
    </row>
    <row r="12" spans="1:5" ht="45">
      <c r="A12" s="281" t="s">
        <v>1004</v>
      </c>
      <c r="B12" s="244" t="s">
        <v>1005</v>
      </c>
      <c r="C12" s="244" t="s">
        <v>947</v>
      </c>
      <c r="D12" s="245">
        <v>45642</v>
      </c>
      <c r="E12" s="246" t="s">
        <v>1006</v>
      </c>
    </row>
    <row r="13" spans="1:5" ht="45">
      <c r="A13" s="281" t="s">
        <v>1024</v>
      </c>
      <c r="B13" s="244" t="s">
        <v>1025</v>
      </c>
      <c r="C13" s="244" t="s">
        <v>947</v>
      </c>
      <c r="D13" s="245">
        <v>45664</v>
      </c>
      <c r="E13" s="246" t="s">
        <v>1006</v>
      </c>
    </row>
    <row r="14" spans="1:5" ht="30">
      <c r="A14" s="281" t="s">
        <v>1028</v>
      </c>
      <c r="B14" s="244" t="s">
        <v>1029</v>
      </c>
      <c r="C14" s="244" t="s">
        <v>947</v>
      </c>
      <c r="D14" s="245">
        <v>45789</v>
      </c>
      <c r="E14" s="246" t="s">
        <v>1027</v>
      </c>
    </row>
  </sheetData>
  <autoFilter ref="A1:E1" xr:uid="{00000000-0009-0000-0000-000008000000}">
    <sortState ref="A2:E5">
      <sortCondition descending="1" ref="D1"/>
    </sortState>
  </autoFilter>
  <phoneticPr fontId="89" type="noConversion"/>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E44D979544236843800720397FCF0C3B" ma:contentTypeVersion="3" ma:contentTypeDescription="Ein neues Dokument erstellen." ma:contentTypeScope="" ma:versionID="afdffb8750659ac1a5c2b38336128dc9">
  <xsd:schema xmlns:xsd="http://www.w3.org/2001/XMLSchema" xmlns:xs="http://www.w3.org/2001/XMLSchema" xmlns:p="http://schemas.microsoft.com/office/2006/metadata/properties" xmlns:ns2="0a813d43-1259-436e-8564-e531520a6d01" targetNamespace="http://schemas.microsoft.com/office/2006/metadata/properties" ma:root="true" ma:fieldsID="f281074914dc64f35757f9966eb4c16e" ns2:_="">
    <xsd:import namespace="0a813d43-1259-436e-8564-e531520a6d01"/>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813d43-1259-436e-8564-e531520a6d0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E8B1722-6BC6-4B6C-8B40-D59B4CAEBA8C}">
  <ds:schemaRefs>
    <ds:schemaRef ds:uri="http://purl.org/dc/elements/1.1/"/>
    <ds:schemaRef ds:uri="http://www.w3.org/XML/1998/namespace"/>
    <ds:schemaRef ds:uri="0a813d43-1259-436e-8564-e531520a6d01"/>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4142A1DC-4E57-4F7C-96D5-2C12110C77C0}">
  <ds:schemaRefs>
    <ds:schemaRef ds:uri="http://schemas.microsoft.com/sharepoint/v3/contenttype/forms"/>
  </ds:schemaRefs>
</ds:datastoreItem>
</file>

<file path=customXml/itemProps3.xml><?xml version="1.0" encoding="utf-8"?>
<ds:datastoreItem xmlns:ds="http://schemas.openxmlformats.org/officeDocument/2006/customXml" ds:itemID="{92365E1E-BDC8-4274-BD32-7891A15C3A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813d43-1259-436e-8564-e531520a6d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9</vt:i4>
      </vt:variant>
      <vt:variant>
        <vt:lpstr>Benannte Bereiche</vt:lpstr>
      </vt:variant>
      <vt:variant>
        <vt:i4>5</vt:i4>
      </vt:variant>
    </vt:vector>
  </HeadingPairs>
  <TitlesOfParts>
    <vt:vector size="14" baseType="lpstr">
      <vt:lpstr>Auftragsdaten</vt:lpstr>
      <vt:lpstr>Proben</vt:lpstr>
      <vt:lpstr>Muster-csv</vt:lpstr>
      <vt:lpstr>Einstellungen+Makro</vt:lpstr>
      <vt:lpstr>freies Blatt</vt:lpstr>
      <vt:lpstr>Begleitschein</vt:lpstr>
      <vt:lpstr>Anleitung</vt:lpstr>
      <vt:lpstr>Hilfstabellen</vt:lpstr>
      <vt:lpstr>ChangeLog</vt:lpstr>
      <vt:lpstr>Ackergras</vt:lpstr>
      <vt:lpstr>Auftragsdaten!Druckbereich</vt:lpstr>
      <vt:lpstr>Auftragsdaten!Druckbereich_Auftragsdaten</vt:lpstr>
      <vt:lpstr>Proben!Drucktitel</vt:lpstr>
      <vt:lpstr>Fruchtarten</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1.02</dc:title>
  <dc:creator>Rupprecht, Markus</dc:creator>
  <cp:keywords>Boden</cp:keywords>
  <cp:lastModifiedBy>Rupprecht, Markus</cp:lastModifiedBy>
  <cp:revision/>
  <dcterms:created xsi:type="dcterms:W3CDTF">2022-01-06T14:26:45Z</dcterms:created>
  <dcterms:modified xsi:type="dcterms:W3CDTF">2025-07-29T14:27:36Z</dcterms:modified>
  <cp:category>Probenbegleitschein</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P_GUID">
    <vt:lpwstr>67b70b52-2227-4a68-b95c-3aca64e7d635</vt:lpwstr>
  </property>
  <property fmtid="{D5CDD505-2E9C-101B-9397-08002B2CF9AE}" pid="3" name="ContentTypeId">
    <vt:lpwstr>0x010100E44D979544236843800720397FCF0C3B</vt:lpwstr>
  </property>
</Properties>
</file>