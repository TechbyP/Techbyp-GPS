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DieseArbeitsmappe" defaultThemeVersion="124226"/>
  <bookViews>
    <workbookView xWindow="630" yWindow="735" windowWidth="26580" windowHeight="6240" activeTab="6"/>
  </bookViews>
  <sheets>
    <sheet name="Auftragsdaten" sheetId="3" r:id="rId1"/>
    <sheet name="Proben" sheetId="1" r:id="rId2"/>
    <sheet name="Muster-csv" sheetId="5" state="hidden" r:id="rId3"/>
    <sheet name="Einstellungen+Makro" sheetId="26" r:id="rId4"/>
    <sheet name="freies Blatt" sheetId="4" r:id="rId5"/>
    <sheet name="Begleitschein" sheetId="27" r:id="rId6"/>
    <sheet name="Anleitung" sheetId="28" r:id="rId7"/>
    <sheet name="Hilfstabellen" sheetId="2" state="hidden" r:id="rId8"/>
    <sheet name="ChangeLog" sheetId="29" state="hidden" r:id="rId9"/>
    <sheet name="analog" sheetId="30" state="hidden" r:id="rId10"/>
    <sheet name="Proben-Hilfe" sheetId="33" state="hidden" r:id="rId11"/>
  </sheets>
  <definedNames>
    <definedName name="_xlnm._FilterDatabase" localSheetId="8" hidden="1">ChangeLog!$A$1:$E$1</definedName>
    <definedName name="Ackergras">Hilfstabellen!$R$5:$R$77</definedName>
    <definedName name="Auswahl">Hilfstabellen!#REF!</definedName>
    <definedName name="_xlnm.Print_Area" localSheetId="0">Auftragsdaten!$A$1:$H$38</definedName>
    <definedName name="_xlnm.Print_Area" localSheetId="1">INDIRECT(Proben!$C$1)</definedName>
    <definedName name="Druckbereich_Auftragsdaten" localSheetId="0">Auftragsdaten!$B$2:$H$35</definedName>
    <definedName name="_xlnm.Print_Titles" localSheetId="1">Proben!$3:$6</definedName>
    <definedName name="Fruchtarten" comment="hier sind die Fruchtarten zur Auswahl auf dem Deckblatt hinterlegt. per = Zeichen aus der Tabellen links übernommen">Hilfstabellen!$R$5:$R$77</definedName>
    <definedName name="Typ_Nmin">Hilfstabellen!$A$46:$A$46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I2" i="28" l="1"/>
  <c r="H2" i="28"/>
  <c r="E3" i="1" l="1"/>
  <c r="R21" i="2" l="1"/>
  <c r="R6" i="2" l="1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5" i="2"/>
  <c r="I12" i="26" l="1"/>
  <c r="I5" i="2" l="1"/>
  <c r="I16" i="2"/>
  <c r="I17" i="2"/>
  <c r="I18" i="2"/>
  <c r="I19" i="2"/>
  <c r="I20" i="2"/>
  <c r="I21" i="2"/>
  <c r="I26" i="2"/>
  <c r="I33" i="2"/>
  <c r="I39" i="2"/>
  <c r="I40" i="2"/>
  <c r="I41" i="2"/>
  <c r="I42" i="2"/>
  <c r="I43" i="2"/>
  <c r="I55" i="2"/>
  <c r="I58" i="2"/>
  <c r="I59" i="2"/>
  <c r="I60" i="2"/>
  <c r="I61" i="2"/>
  <c r="I62" i="2"/>
  <c r="I63" i="2"/>
  <c r="I67" i="2"/>
  <c r="I68" i="2"/>
  <c r="I69" i="2"/>
  <c r="I70" i="2"/>
  <c r="I71" i="2"/>
  <c r="I72" i="2"/>
  <c r="I73" i="2"/>
  <c r="I74" i="2"/>
  <c r="I75" i="2"/>
  <c r="I4" i="2"/>
  <c r="I6" i="2"/>
  <c r="I7" i="2"/>
  <c r="I8" i="2"/>
  <c r="I9" i="2"/>
  <c r="I10" i="2"/>
  <c r="I11" i="2"/>
  <c r="I12" i="2"/>
  <c r="I13" i="2"/>
  <c r="I14" i="2"/>
  <c r="I15" i="2"/>
  <c r="I22" i="2"/>
  <c r="I23" i="2"/>
  <c r="I24" i="2"/>
  <c r="I25" i="2"/>
  <c r="I27" i="2"/>
  <c r="I28" i="2"/>
  <c r="I29" i="2"/>
  <c r="I30" i="2"/>
  <c r="I31" i="2"/>
  <c r="I32" i="2"/>
  <c r="I34" i="2"/>
  <c r="I35" i="2"/>
  <c r="I36" i="2"/>
  <c r="I37" i="2"/>
  <c r="I38" i="2"/>
  <c r="I44" i="2"/>
  <c r="I45" i="2"/>
  <c r="I46" i="2"/>
  <c r="I47" i="2"/>
  <c r="I48" i="2"/>
  <c r="I49" i="2"/>
  <c r="I50" i="2"/>
  <c r="I51" i="2"/>
  <c r="I52" i="2"/>
  <c r="I53" i="2"/>
  <c r="I54" i="2"/>
  <c r="I56" i="2"/>
  <c r="I57" i="2"/>
  <c r="I64" i="2"/>
  <c r="I65" i="2"/>
  <c r="I66" i="2"/>
  <c r="I76" i="2"/>
  <c r="I77" i="2"/>
  <c r="N8" i="1" l="1"/>
  <c r="V8" i="1"/>
</calcChain>
</file>

<file path=xl/comments1.xml><?xml version="1.0" encoding="utf-8"?>
<comments xmlns="http://schemas.openxmlformats.org/spreadsheetml/2006/main">
  <authors>
    <author>Schülter, Mathias</author>
  </authors>
  <commentList>
    <comment ref="N6" authorId="0">
      <text>
        <r>
          <rPr>
            <b/>
            <sz val="9"/>
            <color indexed="81"/>
            <rFont val="Segoe UI"/>
            <family val="2"/>
          </rPr>
          <t>Schülter, Mathias:</t>
        </r>
        <r>
          <rPr>
            <sz val="9"/>
            <color indexed="81"/>
            <rFont val="Segoe UI"/>
            <family val="2"/>
          </rPr>
          <t xml:space="preserve">
A: Acker
W: Grünland
R: Rebe
O: Obst
H: Hopfen
U: Übrige
Bei fehlender Angabe wird Ackernutzung unterstellt</t>
        </r>
      </text>
    </comment>
    <comment ref="Q6" authorId="0">
      <text>
        <r>
          <rPr>
            <sz val="9"/>
            <color indexed="81"/>
            <rFont val="Segoe UI"/>
            <family val="2"/>
          </rPr>
          <t xml:space="preserve">Kundenagabe Bodenart -&gt; Bodenart wird auf Befund als "Bodenart Kundenangabe" ausgegeben
</t>
        </r>
      </text>
    </comment>
    <comment ref="R6" authorId="0">
      <text>
        <r>
          <rPr>
            <sz val="9"/>
            <color indexed="81"/>
            <rFont val="Segoe UI"/>
            <family val="2"/>
          </rPr>
          <t xml:space="preserve">Kundenangabe Humusstufe, wird als "Humusstufe Kundenangabe" auf dem Befund ausgegeben.
</t>
        </r>
      </text>
    </comment>
  </commentList>
</comments>
</file>

<file path=xl/comments2.xml><?xml version="1.0" encoding="utf-8"?>
<comments xmlns="http://schemas.openxmlformats.org/spreadsheetml/2006/main">
  <authors>
    <author>Rupprecht, Markus</author>
  </authors>
  <commentList>
    <comment ref="AO14" authorId="0">
      <text>
        <r>
          <rPr>
            <sz val="9"/>
            <color indexed="81"/>
            <rFont val="Tahoma"/>
            <family val="2"/>
          </rPr>
          <t>bleibt leer - es sollen NEUE Lots angelegt werden</t>
        </r>
      </text>
    </comment>
    <comment ref="BI14" authorId="0">
      <text>
        <r>
          <rPr>
            <b/>
            <sz val="9"/>
            <color indexed="81"/>
            <rFont val="Tahoma"/>
            <family val="2"/>
          </rPr>
          <t>Rupprecht, Markus:</t>
        </r>
        <r>
          <rPr>
            <sz val="9"/>
            <color indexed="81"/>
            <rFont val="Tahoma"/>
            <family val="2"/>
          </rPr>
          <t xml:space="preserve">
Muss einmalig sein</t>
        </r>
      </text>
    </comment>
    <comment ref="D15" authorId="0">
      <text>
        <r>
          <rPr>
            <sz val="10"/>
            <color indexed="81"/>
            <rFont val="Tahoma"/>
            <family val="2"/>
          </rPr>
          <t>PROBE_BODEN.PROBENR: varchar max 6 &gt;&gt;&gt; erwartet wird "343511"</t>
        </r>
      </text>
    </comment>
    <comment ref="AU15" authorId="0">
      <text>
        <r>
          <rPr>
            <sz val="10"/>
            <color indexed="81"/>
            <rFont val="Tahoma"/>
            <family val="2"/>
          </rPr>
          <t xml:space="preserve">INTEGER max 3 - &gt;&gt;&gt; erwartet wird 235
</t>
        </r>
      </text>
    </comment>
    <comment ref="AY15" authorId="0">
      <text>
        <r>
          <rPr>
            <sz val="10"/>
            <color indexed="81"/>
            <rFont val="Tahoma"/>
            <family val="2"/>
          </rPr>
          <t xml:space="preserve">Nur M und O sind erlaubt &gt;&gt;&gt; erwartet: leerer STRING
</t>
        </r>
      </text>
    </comment>
    <comment ref="BY15" authorId="0">
      <text>
        <r>
          <rPr>
            <sz val="12"/>
            <color indexed="81"/>
            <rFont val="Tahoma"/>
            <family val="2"/>
          </rPr>
          <t>Umwandlung , in .-Delimiter durch Angabe des Datentyps = FLOAT</t>
        </r>
      </text>
    </comment>
  </commentList>
</comments>
</file>

<file path=xl/comments3.xml><?xml version="1.0" encoding="utf-8"?>
<comments xmlns="http://schemas.openxmlformats.org/spreadsheetml/2006/main">
  <authors>
    <author>Rupprecht, Markus</author>
  </authors>
  <commentList>
    <comment ref="AO1" authorId="0">
      <text>
        <r>
          <rPr>
            <sz val="9"/>
            <color indexed="81"/>
            <rFont val="Tahoma"/>
            <family val="2"/>
          </rPr>
          <t>bleibt leer - es sollen NEUE Lots angelegt werden</t>
        </r>
      </text>
    </comment>
    <comment ref="BI1" authorId="0">
      <text>
        <r>
          <rPr>
            <b/>
            <sz val="9"/>
            <color indexed="81"/>
            <rFont val="Tahoma"/>
            <family val="2"/>
          </rPr>
          <t>Rupprecht, Markus:</t>
        </r>
        <r>
          <rPr>
            <sz val="9"/>
            <color indexed="81"/>
            <rFont val="Tahoma"/>
            <family val="2"/>
          </rPr>
          <t xml:space="preserve">
Muss einmalig sein</t>
        </r>
      </text>
    </comment>
  </commentList>
</comments>
</file>

<file path=xl/sharedStrings.xml><?xml version="1.0" encoding="utf-8"?>
<sst xmlns="http://schemas.openxmlformats.org/spreadsheetml/2006/main" count="1207" uniqueCount="726">
  <si>
    <t>Tracking ID Paketdienst</t>
  </si>
  <si>
    <t>Orange Felder sind Pflichtfelder</t>
  </si>
  <si>
    <t>Beauftragtes Labor</t>
  </si>
  <si>
    <t>Landwirtschaftlicher Betrieb</t>
  </si>
  <si>
    <t>Rechnungsnehmer (falls abweichend)</t>
  </si>
  <si>
    <t>Kundennummer AGROLAB</t>
  </si>
  <si>
    <t>Kd.Nr. AGROLAB</t>
  </si>
  <si>
    <t>Kundennummer Auftraggeber</t>
  </si>
  <si>
    <t>Kd.Nr. Auftraggeber</t>
  </si>
  <si>
    <t>Name</t>
  </si>
  <si>
    <t>Vorname</t>
  </si>
  <si>
    <t>Straße Nr.</t>
  </si>
  <si>
    <t>PLZ</t>
  </si>
  <si>
    <t>Ort</t>
  </si>
  <si>
    <t>e-mail</t>
  </si>
  <si>
    <t>Telefon</t>
  </si>
  <si>
    <t>Land</t>
  </si>
  <si>
    <t>Bundesland</t>
  </si>
  <si>
    <t>MWSt - VAT-No.</t>
  </si>
  <si>
    <t>Kopie des Befundes an:</t>
  </si>
  <si>
    <t>Auftragsname</t>
  </si>
  <si>
    <t>e-mail(s) (,-getrennt)</t>
  </si>
  <si>
    <t>Projektnr. Agrolab</t>
  </si>
  <si>
    <t>Trockengebiet</t>
  </si>
  <si>
    <t>Probenahme</t>
  </si>
  <si>
    <t>Boden schwer</t>
  </si>
  <si>
    <t>Probenehmer-No.</t>
  </si>
  <si>
    <t>WerberNr.</t>
  </si>
  <si>
    <t>für Düngeempfehlung</t>
  </si>
  <si>
    <t>PN Auftragsnr.</t>
  </si>
  <si>
    <t>Preisliste</t>
  </si>
  <si>
    <t>Probenahmedatum</t>
  </si>
  <si>
    <t>TT.MM.JJJJ</t>
  </si>
  <si>
    <t>PN-Preis/Probe</t>
  </si>
  <si>
    <t>€/Probe</t>
  </si>
  <si>
    <t>PN-Preis/ha</t>
  </si>
  <si>
    <t>€/ha</t>
  </si>
  <si>
    <t>ha bei PN-Preis/ha</t>
  </si>
  <si>
    <t>ha</t>
  </si>
  <si>
    <t>Fahrtkosten pauschal</t>
  </si>
  <si>
    <t>€</t>
  </si>
  <si>
    <t>Fahrtkosten / km</t>
  </si>
  <si>
    <t>€/km</t>
  </si>
  <si>
    <t>gefahrene Km</t>
  </si>
  <si>
    <t>km</t>
  </si>
  <si>
    <t xml:space="preserve">Ich akzeptiere die AGB der AGROLAB GmbH </t>
  </si>
  <si>
    <t>Ja</t>
  </si>
  <si>
    <t>https://www.agrolab.com/de/agb.html</t>
  </si>
  <si>
    <t>Proben und Analysenumfang</t>
  </si>
  <si>
    <t>Kundenangabe</t>
  </si>
  <si>
    <t>Analysenumfang - bitte ankreuzen</t>
  </si>
  <si>
    <t>Bemerkung 1 (Bemerkungenwerden nicht an AGROLAB übermittelt)</t>
  </si>
  <si>
    <t>Bemerkung 2 (Bemerkungenwerden nicht an AGROLAB übermittelt)</t>
  </si>
  <si>
    <t>Bemerkung 3 (Bemerkungenwerden nicht an AGROLAB übermittelt)</t>
  </si>
  <si>
    <t>lfd.Nr. /GPS</t>
  </si>
  <si>
    <t>Tütenbarcode</t>
  </si>
  <si>
    <t>Schlagnr.</t>
  </si>
  <si>
    <t>Teilschlagnr.</t>
  </si>
  <si>
    <t>Schlagname</t>
  </si>
  <si>
    <t>Erweiterung Schlagname</t>
  </si>
  <si>
    <t>Schlag-größe
[ha]</t>
  </si>
  <si>
    <t>Proben-
Fläche
[ha]</t>
  </si>
  <si>
    <t>Nutzung 
[A/W/R/O/H/U]</t>
  </si>
  <si>
    <t>Ernte-reste abg.
[j/n]</t>
  </si>
  <si>
    <t>Transport-
tracking-nr.</t>
  </si>
  <si>
    <t>Bodenart</t>
  </si>
  <si>
    <t>Humusstufe</t>
  </si>
  <si>
    <t>Standard pH/P/K/Mg</t>
  </si>
  <si>
    <t>Spuren CAT
Na,Mn,Cu,B,Zn</t>
  </si>
  <si>
    <t>Humusgehalt</t>
  </si>
  <si>
    <t>C/N-Verhältnis</t>
  </si>
  <si>
    <t>Kali-Fixierung</t>
  </si>
  <si>
    <t>Calcium</t>
  </si>
  <si>
    <t>KAK eff</t>
  </si>
  <si>
    <t>KAK pot</t>
  </si>
  <si>
    <t>Korngrößen-verteilung</t>
  </si>
  <si>
    <t>P-Freisetzungs-rate</t>
  </si>
  <si>
    <t>s. Codeliste</t>
  </si>
  <si>
    <t>Bemerkung 2</t>
  </si>
  <si>
    <t>Bemerkung 22</t>
  </si>
  <si>
    <t>Bemerkung 3</t>
  </si>
  <si>
    <t>S-Erweiterung</t>
  </si>
  <si>
    <t>Spalte3</t>
  </si>
  <si>
    <t>Spalte4</t>
  </si>
  <si>
    <t>Spalte2</t>
  </si>
  <si>
    <t>Spalte1</t>
  </si>
  <si>
    <t>Einstellungen</t>
  </si>
  <si>
    <t>Version</t>
  </si>
  <si>
    <t>1.01</t>
  </si>
  <si>
    <t>Name für Wiederverwertung</t>
  </si>
  <si>
    <t>* Wenn eine alte Datei (xlsm) wiederverwertet wird, muß das alte erzeugte rote Excel-Tabellenblatt manuell gelöscht werden (rechte Maustaste auf Reiter -&gt; Löschen)</t>
  </si>
  <si>
    <t>schwer</t>
  </si>
  <si>
    <t>Labor</t>
  </si>
  <si>
    <t>Anzahl Proben</t>
  </si>
  <si>
    <t>Datum</t>
  </si>
  <si>
    <t>1         Allgemein</t>
  </si>
  <si>
    <t>Während die rohen Daten auch auf typischen mobilen Geräten (Handys, Tablets) eingegeben werden können, bedarf es für die Ausführung der Makros einen PC (desktop oder laptop)</t>
  </si>
  <si>
    <t>2         Einstellungen (Einmalig in Vorlage)</t>
  </si>
  <si>
    <t>Im Verlauf des Makro-Ablaufes werden folgende Dateien erzeugt: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</si>
  <si>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>csv-Datei – diese wird an Agrolab übermittelt und stellt den eigentlichen digitalen Auftrag dar</t>
    </r>
  </si>
  <si>
    <r>
      <t>2.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>xlsm-Datei: Diese dient dem Auftraggeber als Quittung. Sie kann auch für zukünftige Aufträge als dPBS wiederverwendet werden</t>
    </r>
  </si>
  <si>
    <r>
      <t>3.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>pdf-Datei als Probenbegleitschein. Dieser sollte ausgedruckt und der Kiste mit Proben beigefügt werden</t>
    </r>
  </si>
  <si>
    <t>Die Pfade auf dem PC, in dem die Dateien gespeichert werden sollen, werden im dPBS festgelegt (einmalig in der xmlt-Datei:</t>
  </si>
  <si>
    <t>z.B.:</t>
  </si>
  <si>
    <t>3         typischer Prozess</t>
  </si>
  <si>
    <t>(-beauftragtes Labor</t>
  </si>
  <si>
    <t>-landw. Betrieb</t>
  </si>
  <si>
    <t>- Auftraggeber (falls vom landw. Betrieb abweichend)</t>
  </si>
  <si>
    <t>- Auftragsdetails wie z.B. Fruchtfolge</t>
  </si>
  <si>
    <t>- PN-Details)</t>
  </si>
  <si>
    <t>extrem wichtig: Tütenbarcode – das ist das einzige Erkennungsmerkmal der Probe, die physisch im Labor eintrifft!</t>
  </si>
  <si>
    <t>folgende Dateien werden erzeugt:</t>
  </si>
  <si>
    <t>4        Wiederverwerten alter xlsm-Quittungen für neue Aufträge</t>
  </si>
  <si>
    <r>
      <t xml:space="preserve">Sie können "alte" xlsm-Quittungen nutzen, um neue Untersuchungsaufträge zu erzeugen. Dabei werden nur sehr wenige Einträge aus der alten Quittung gelöscht – Probenahmedatum und Tütenbarcodes. </t>
    </r>
    <r>
      <rPr>
        <i/>
        <sz val="11"/>
        <color rgb="FFFF6600"/>
        <rFont val="Arial"/>
        <family val="2"/>
      </rPr>
      <t>Entsprechend wichtig ist, dass Sie ALLE Daten bei Nutzung dieser Funktion auf Aktualität und Richtigkeit prüfen!</t>
    </r>
  </si>
  <si>
    <t>Speichern Sie noch nicht – das geschieht im nächsten Schritt</t>
  </si>
  <si>
    <t>Starten Sie das orange Makro</t>
  </si>
  <si>
    <t>Es wird im Quittungsordner eine zusätzliche  xlsm-Datei "für Wiederverwertung" erzeugt (,die Sie in der Regel nicht wieder benötigen)</t>
  </si>
  <si>
    <t>Folgen Sie allen Punkten aus Kapitel 3</t>
  </si>
  <si>
    <t>sehr wichtig dabei: Überprüfung der übernommenen Daten in den gelben Arbeitsblättern "Auftragsdaten" und  "Proben"</t>
  </si>
  <si>
    <t>5  weitere Erläuterungen</t>
  </si>
  <si>
    <t>Bei Eingabe der Tütenbarcodes in Arbeitsblatt Tabellen werden folgende Probleme angezeigt:</t>
  </si>
  <si>
    <t>Nutzung</t>
  </si>
  <si>
    <t>Erntereste</t>
  </si>
  <si>
    <t>Kulturen</t>
  </si>
  <si>
    <t>Abkürzung Nutzung</t>
  </si>
  <si>
    <t>Langtext Nutzung</t>
  </si>
  <si>
    <t>Abkürzung Erntereste</t>
  </si>
  <si>
    <t>Langtext Erntereste</t>
  </si>
  <si>
    <t>Prio</t>
  </si>
  <si>
    <t>Sortierung</t>
  </si>
  <si>
    <t>FRUART</t>
  </si>
  <si>
    <t>FRUARTTEXT</t>
  </si>
  <si>
    <t>P2O5</t>
  </si>
  <si>
    <t>K2O</t>
  </si>
  <si>
    <t>ERTRAG</t>
  </si>
  <si>
    <t>P2O5_BRUTTO</t>
  </si>
  <si>
    <t>K2O_BRUTTO</t>
  </si>
  <si>
    <t>A</t>
  </si>
  <si>
    <t>Acker</t>
  </si>
  <si>
    <t>Fruchtarten</t>
  </si>
  <si>
    <t>W</t>
  </si>
  <si>
    <t>Grünland</t>
  </si>
  <si>
    <t>Nein</t>
  </si>
  <si>
    <t>AG</t>
  </si>
  <si>
    <t>Ackergras</t>
  </si>
  <si>
    <t>O</t>
  </si>
  <si>
    <t>Obst</t>
  </si>
  <si>
    <t>AGT</t>
  </si>
  <si>
    <t>Ackergras (TM)</t>
  </si>
  <si>
    <t>R</t>
  </si>
  <si>
    <t>Rebe</t>
  </si>
  <si>
    <t>BLU</t>
  </si>
  <si>
    <t>Blumenkohl</t>
  </si>
  <si>
    <t>H</t>
  </si>
  <si>
    <t>Hopfen</t>
  </si>
  <si>
    <t>DK</t>
  </si>
  <si>
    <t>Dinkel</t>
  </si>
  <si>
    <t>U</t>
  </si>
  <si>
    <t>Übrige</t>
  </si>
  <si>
    <t>DR</t>
  </si>
  <si>
    <t>Durum</t>
  </si>
  <si>
    <t>EB</t>
  </si>
  <si>
    <t>Erbsen (Körner)</t>
  </si>
  <si>
    <t>ERB</t>
  </si>
  <si>
    <t>Erdbeeren</t>
  </si>
  <si>
    <t>AGB akzeptieren</t>
  </si>
  <si>
    <t>Status</t>
  </si>
  <si>
    <t>FES</t>
  </si>
  <si>
    <t>Feldsalat</t>
  </si>
  <si>
    <t>FRG</t>
  </si>
  <si>
    <t>Futterrübe - Gehalt</t>
  </si>
  <si>
    <t>FRM</t>
  </si>
  <si>
    <t>Futterrübe - Masse</t>
  </si>
  <si>
    <t>FRT</t>
  </si>
  <si>
    <t>Futterrübe (TM)</t>
  </si>
  <si>
    <t>Analyseumpfang</t>
  </si>
  <si>
    <t>Auswahl</t>
  </si>
  <si>
    <t>GR1</t>
  </si>
  <si>
    <t>Grünland 1 Nutzung</t>
  </si>
  <si>
    <t>X</t>
  </si>
  <si>
    <t>GR2</t>
  </si>
  <si>
    <t>Grünland 2 Nutzungen</t>
  </si>
  <si>
    <t>Standort</t>
  </si>
  <si>
    <t>Kürzel</t>
  </si>
  <si>
    <t>Nr</t>
  </si>
  <si>
    <t>GR3</t>
  </si>
  <si>
    <t>Grünland 3 Nutzungen</t>
  </si>
  <si>
    <t>Sarstedt</t>
  </si>
  <si>
    <t>KOLD</t>
  </si>
  <si>
    <t>GR4</t>
  </si>
  <si>
    <t>Grünland 4 Nutzungen</t>
  </si>
  <si>
    <t>Leinefelde</t>
  </si>
  <si>
    <t>AAZL</t>
  </si>
  <si>
    <t>Auftrag je Schlag</t>
  </si>
  <si>
    <t>GR5</t>
  </si>
  <si>
    <t>Grünland 5 Nutzungen</t>
  </si>
  <si>
    <t xml:space="preserve"> </t>
  </si>
  <si>
    <t>HA</t>
  </si>
  <si>
    <t>Hafer</t>
  </si>
  <si>
    <t>HF</t>
  </si>
  <si>
    <t>Hanf</t>
  </si>
  <si>
    <t>Extraktion</t>
  </si>
  <si>
    <t>HBE</t>
  </si>
  <si>
    <t>Himbeere</t>
  </si>
  <si>
    <t>JBE</t>
  </si>
  <si>
    <t>Johannisbeere</t>
  </si>
  <si>
    <t>Abkürzung</t>
  </si>
  <si>
    <t>Lang</t>
  </si>
  <si>
    <t>JOK</t>
  </si>
  <si>
    <t>Johanniskraut</t>
  </si>
  <si>
    <t>CAL</t>
  </si>
  <si>
    <t>Calcium-Acetat-Lactat</t>
  </si>
  <si>
    <t>KA</t>
  </si>
  <si>
    <t>Kartoffeln</t>
  </si>
  <si>
    <t>DL</t>
  </si>
  <si>
    <t>Doppel-Lactat</t>
  </si>
  <si>
    <t>KST</t>
  </si>
  <si>
    <t>KEO</t>
  </si>
  <si>
    <t>Kernobst</t>
  </si>
  <si>
    <t>KLV</t>
  </si>
  <si>
    <t>Klee-,Luzerneverm.</t>
  </si>
  <si>
    <t>KGT</t>
  </si>
  <si>
    <t>Kleegras (TM)</t>
  </si>
  <si>
    <t>LUV</t>
  </si>
  <si>
    <t>Klee-Luzerneverm.</t>
  </si>
  <si>
    <t>KLB</t>
  </si>
  <si>
    <t>Kohlrabi</t>
  </si>
  <si>
    <t>KM</t>
  </si>
  <si>
    <t>Körnermais</t>
  </si>
  <si>
    <t>KS</t>
  </si>
  <si>
    <t>Körnersenf</t>
  </si>
  <si>
    <t>LP</t>
  </si>
  <si>
    <t>Lupine</t>
  </si>
  <si>
    <t>LUZ</t>
  </si>
  <si>
    <t>Luzerne</t>
  </si>
  <si>
    <t>Boden schwer Belgien</t>
  </si>
  <si>
    <t>LZT</t>
  </si>
  <si>
    <t>Luzerne (TM)</t>
  </si>
  <si>
    <t>LGT</t>
  </si>
  <si>
    <t>Luzernegras (TM)</t>
  </si>
  <si>
    <t>1MW1</t>
  </si>
  <si>
    <t>Mähweide, 1 Schnitt</t>
  </si>
  <si>
    <t>MW2</t>
  </si>
  <si>
    <t>Mähweide, 2 Schnitte</t>
  </si>
  <si>
    <t>MW3</t>
  </si>
  <si>
    <t>Mähweide, 3 Schnitte</t>
  </si>
  <si>
    <t>MW4</t>
  </si>
  <si>
    <t>Mähweide, 4 Schnitte</t>
  </si>
  <si>
    <t>MWE</t>
  </si>
  <si>
    <t>Mähweide, extensiv</t>
  </si>
  <si>
    <t>MAI</t>
  </si>
  <si>
    <t>Mairübe</t>
  </si>
  <si>
    <t>MOB</t>
  </si>
  <si>
    <t>Möhren, Bund-</t>
  </si>
  <si>
    <t>MOW</t>
  </si>
  <si>
    <t>Möhren, Wasch-</t>
  </si>
  <si>
    <t>LEI</t>
  </si>
  <si>
    <t>Öllein</t>
  </si>
  <si>
    <t>LN</t>
  </si>
  <si>
    <t>Öllein (91 % TS)</t>
  </si>
  <si>
    <t>POR</t>
  </si>
  <si>
    <t>Porree</t>
  </si>
  <si>
    <t>RAD</t>
  </si>
  <si>
    <t>Radies</t>
  </si>
  <si>
    <t>SEL</t>
  </si>
  <si>
    <t>Sellerie</t>
  </si>
  <si>
    <t>SEB</t>
  </si>
  <si>
    <t>Sellerie, Bund-</t>
  </si>
  <si>
    <t>SEK</t>
  </si>
  <si>
    <t>Sellerie, Knollen-</t>
  </si>
  <si>
    <t>SES</t>
  </si>
  <si>
    <t>Sellerie, Stangen-</t>
  </si>
  <si>
    <t>SM</t>
  </si>
  <si>
    <t>Silomais</t>
  </si>
  <si>
    <t>SMT</t>
  </si>
  <si>
    <t>Silomais (TM)</t>
  </si>
  <si>
    <t>SOB</t>
  </si>
  <si>
    <t>Sojabohnen</t>
  </si>
  <si>
    <t>SGB</t>
  </si>
  <si>
    <t>Sommerbraugerste</t>
  </si>
  <si>
    <t>SG</t>
  </si>
  <si>
    <t>Sommergerste (Fut.)</t>
  </si>
  <si>
    <t>RS</t>
  </si>
  <si>
    <t>Sommerraps</t>
  </si>
  <si>
    <t>SR</t>
  </si>
  <si>
    <t>Sommerroggen</t>
  </si>
  <si>
    <t>SW</t>
  </si>
  <si>
    <t>Sommerweizen</t>
  </si>
  <si>
    <t>SB</t>
  </si>
  <si>
    <t>Sonnenblumen</t>
  </si>
  <si>
    <t>SPA</t>
  </si>
  <si>
    <t>Spargel</t>
  </si>
  <si>
    <t>SPAR</t>
  </si>
  <si>
    <t>STO</t>
  </si>
  <si>
    <t>Steinobst</t>
  </si>
  <si>
    <t>TR</t>
  </si>
  <si>
    <t>Triticale</t>
  </si>
  <si>
    <t>WEI</t>
  </si>
  <si>
    <t>Weide</t>
  </si>
  <si>
    <t>WGB</t>
  </si>
  <si>
    <t>Winterbraugerste</t>
  </si>
  <si>
    <t>WWB</t>
  </si>
  <si>
    <t>Winterbrauweizen</t>
  </si>
  <si>
    <t>WG</t>
  </si>
  <si>
    <t>Wintergerste</t>
  </si>
  <si>
    <t>RW</t>
  </si>
  <si>
    <t>Winterraps</t>
  </si>
  <si>
    <t>WR</t>
  </si>
  <si>
    <t>Winterroggen</t>
  </si>
  <si>
    <t>WW</t>
  </si>
  <si>
    <t>Winterweizen</t>
  </si>
  <si>
    <t>ZR</t>
  </si>
  <si>
    <t>Zuckerrüben</t>
  </si>
  <si>
    <t>ZWB</t>
  </si>
  <si>
    <t>Zwiebel, Bund-, früh</t>
  </si>
  <si>
    <t>ZWI</t>
  </si>
  <si>
    <t>Zwiebel, Bund-, wint</t>
  </si>
  <si>
    <t>Blatt</t>
  </si>
  <si>
    <t>Änderung</t>
  </si>
  <si>
    <t>Benutzer</t>
  </si>
  <si>
    <t>auf Version</t>
  </si>
  <si>
    <t>1.02</t>
  </si>
  <si>
    <t>Z</t>
  </si>
  <si>
    <t>Probenart,BNS</t>
  </si>
  <si>
    <t>Paketdienst-Tracking</t>
  </si>
  <si>
    <t>Speichername</t>
  </si>
  <si>
    <t>lab-interne Info</t>
  </si>
  <si>
    <t>ldw. Betrieb</t>
  </si>
  <si>
    <t>Kundennummer AL</t>
  </si>
  <si>
    <t>Kundennummer Kd</t>
  </si>
  <si>
    <t>Rechnungsnehmer</t>
  </si>
  <si>
    <t>Kd.Nr. AL</t>
  </si>
  <si>
    <t>Kd.Nr. Kd</t>
  </si>
  <si>
    <t>Auftragsebene</t>
  </si>
  <si>
    <t>Projekt AL</t>
  </si>
  <si>
    <t>A-Name</t>
  </si>
  <si>
    <t>CAL/DL</t>
  </si>
  <si>
    <t>NICHT-Trocken</t>
  </si>
  <si>
    <t>1 Auftrag/Schlag</t>
  </si>
  <si>
    <t>E</t>
  </si>
  <si>
    <r>
      <t>Probenehmer</t>
    </r>
    <r>
      <rPr>
        <b/>
        <sz val="11"/>
        <color theme="1"/>
        <rFont val="Calibri"/>
        <family val="2"/>
        <scheme val="minor"/>
      </rPr>
      <t>No.</t>
    </r>
  </si>
  <si>
    <t>WerberNo</t>
  </si>
  <si>
    <t>PN-AuftragsNr</t>
  </si>
  <si>
    <t>Fahrtkosten</t>
  </si>
  <si>
    <t>Fahrtkosten/km</t>
  </si>
  <si>
    <t>AnzahlProben</t>
  </si>
  <si>
    <t>Frucht1</t>
  </si>
  <si>
    <t>Frucht2</t>
  </si>
  <si>
    <t>Frucht3</t>
  </si>
  <si>
    <t>Frucht4</t>
  </si>
  <si>
    <t>Frucht5</t>
  </si>
  <si>
    <t>Frucht6</t>
  </si>
  <si>
    <t>Frucht7</t>
  </si>
  <si>
    <t>Ertrag1</t>
  </si>
  <si>
    <t>Ertrag2</t>
  </si>
  <si>
    <t>Ertrag3</t>
  </si>
  <si>
    <t>Ertrag4</t>
  </si>
  <si>
    <t>Ertrag5</t>
  </si>
  <si>
    <t>Ertrag6</t>
  </si>
  <si>
    <t>Ertrag7</t>
  </si>
  <si>
    <t>Proben und Untersuchung</t>
  </si>
  <si>
    <t>Humusklasse</t>
  </si>
  <si>
    <t>Nmin 7900</t>
  </si>
  <si>
    <t>DüngEmpf N+S 7990</t>
  </si>
  <si>
    <t>DüngEmpf N 7991</t>
  </si>
  <si>
    <t>s. Codeliste 1</t>
  </si>
  <si>
    <t>s. Codeliste2</t>
  </si>
  <si>
    <t>PN-Bodenart</t>
  </si>
  <si>
    <t xml:space="preserve"> LOT. ACKERZAHL</t>
  </si>
  <si>
    <t xml:space="preserve"> LOT. BARCODE</t>
  </si>
  <si>
    <t xml:space="preserve"> LOT. BODENKLIMARAUM</t>
  </si>
  <si>
    <t xml:space="preserve"> LOT. BODENZAHL  (Gesetzt auf NULL)</t>
  </si>
  <si>
    <t xml:space="preserve"> LOT. ENTSTEHUNG</t>
  </si>
  <si>
    <t xml:space="preserve"> LOT. FELDBLOCK</t>
  </si>
  <si>
    <t xml:space="preserve"> LOT. FID</t>
  </si>
  <si>
    <t xml:space="preserve"> LOT. HOEHENN</t>
  </si>
  <si>
    <t xml:space="preserve"> LOT. WASSERSCHUTZGEBIET</t>
  </si>
  <si>
    <t>LOT_ORDER.NUTZUNG</t>
  </si>
  <si>
    <t>LOT_ORDER.DURCHWURZELUNGSTIEFE</t>
  </si>
  <si>
    <t>LOT_ORDER.GUELLE</t>
  </si>
  <si>
    <t>LOT_ORDER.HUMUSSTUFE</t>
  </si>
  <si>
    <t>LOT_ORDER.SCHLAG_ZUSATZ</t>
  </si>
  <si>
    <t>PNSTELLE_BODEN.FLURNR</t>
  </si>
  <si>
    <t>PNSTELLE_BODEN.FLURST</t>
  </si>
  <si>
    <t>PNSTELLE_BODEN.GEMARKUNG</t>
  </si>
  <si>
    <t>PNSTELLE_BODEN.GPS_HWERT</t>
  </si>
  <si>
    <t>PNSTELLE_BODEN.GPS_RWERT</t>
  </si>
  <si>
    <t>PNSTELLE_BODEN.GPSNR</t>
  </si>
  <si>
    <t>PNSTELLE_BODEN.LFDNR</t>
  </si>
  <si>
    <t>PNSTELLE_BODEN.SCHLAGNR2</t>
  </si>
  <si>
    <t>PROBE_BODEN.ANALYART_ERFASSUNG</t>
  </si>
  <si>
    <t>PROBE_BODEN.BODARTCOD</t>
  </si>
  <si>
    <t>PROBE_BODEN.BODTYP</t>
  </si>
  <si>
    <t>PROBE_BODEN.PNTIEFE</t>
  </si>
  <si>
    <t>PROBE_BODEN.PNTIEFE_CM</t>
  </si>
  <si>
    <t>PROBE_BODEN.PNTIEFE_CM_VON</t>
  </si>
  <si>
    <t>PROBE_BODEN.PROBENR</t>
  </si>
  <si>
    <t>PROBE_BODEN.S_ERW</t>
  </si>
  <si>
    <t>PROBE_BODEN.SCHICHT</t>
  </si>
  <si>
    <t>PROBE_BODEN.STEINGEHALT</t>
  </si>
  <si>
    <t>Erhebwert_N1</t>
  </si>
  <si>
    <t>Erhebwert_N2</t>
  </si>
  <si>
    <t>Erhebwert_N3</t>
  </si>
  <si>
    <t>Erhebwert_N4</t>
  </si>
  <si>
    <t>Analysepaket_Probe</t>
  </si>
  <si>
    <t>Preis_Probe</t>
  </si>
  <si>
    <t>arrival date</t>
  </si>
  <si>
    <t>ERHEBDATEN.ZU_ANALYSENUMFANG (C1)</t>
  </si>
  <si>
    <t>ERHEBDATEN.PROBENSPEZ_1 (C4)</t>
  </si>
  <si>
    <t>ERHEBDATEN.PROBENSPEZ_2 (C5)</t>
  </si>
  <si>
    <t>ERHEBDATEN.PROBENSPEZ_3 (WertC1)</t>
  </si>
  <si>
    <t>EXTRA_N1
(N1)</t>
  </si>
  <si>
    <t>BODENART_KUNDE
(N2)</t>
  </si>
  <si>
    <t>HUMUSKLASSE_KUNDE (N3)</t>
  </si>
  <si>
    <t>BODENGRUPPE_KUNDE (N4)</t>
  </si>
  <si>
    <t>LOT_ATTRIBUTE.ACKER_ZAHL</t>
  </si>
  <si>
    <t>LOT_ATTRIBUTE.BBART1</t>
  </si>
  <si>
    <t>LOT_ATTRIBUTE.BBART2</t>
  </si>
  <si>
    <t>LOT_ATTRIBUTE.BBART3</t>
  </si>
  <si>
    <t>LOT_ATTRIBUTE.BBART4</t>
  </si>
  <si>
    <t>LOT_ATTRIBUTE.BBDATUM1</t>
  </si>
  <si>
    <t>LOT_ATTRIBUTE.BBDATUM2</t>
  </si>
  <si>
    <t>LOT_ATTRIBUTE.BBDATUM3</t>
  </si>
  <si>
    <t>LOT_ATTRIBUTE.BBDATUM4</t>
  </si>
  <si>
    <t>LOT_ATTRIBUTE.BEFU_SCHLAGNR</t>
  </si>
  <si>
    <t>LOT_ATTRIBUTE.BODENTIEFE</t>
  </si>
  <si>
    <t>LOT_ATTRIBUTE.DIRSAAT</t>
  </si>
  <si>
    <t>LOT_ATTRIBUTE.FOLGEFRUCHT</t>
  </si>
  <si>
    <t>LOT_ATTRIBUTE.GR_BODENW</t>
  </si>
  <si>
    <t>LOT_ATTRIBUTE.GR_TYP</t>
  </si>
  <si>
    <t>LOT_ATTRIBUTE.GRDUENG</t>
  </si>
  <si>
    <t>LOT_ATTRIBUTE.HALMSTAB</t>
  </si>
  <si>
    <t>LOT_ATTRIBUTE.LANGJ_NS</t>
  </si>
  <si>
    <t>LOT_ATTRIBUTE.LOT_INFO</t>
  </si>
  <si>
    <t>LOT_ATTRIBUTE.MDHERBST</t>
  </si>
  <si>
    <t>LOT_ATTRIBUTE.N_MIN_BIS</t>
  </si>
  <si>
    <t>LOT_ATTRIBUTE.OEKOANB</t>
  </si>
  <si>
    <t>LOT_ATTRIBUTE.PRODZIEL</t>
  </si>
  <si>
    <t>LOT_ATTRIBUTE.QUALGABE</t>
  </si>
  <si>
    <t>LOT_ATTRIBUTE.SAATTERMIN</t>
  </si>
  <si>
    <t>LOT_ATTRIBUTE.STEINE</t>
  </si>
  <si>
    <t>LOT_ATTRIBUTE.TIERART</t>
  </si>
  <si>
    <t>LOT_ATTRIBUTE.VANBAU</t>
  </si>
  <si>
    <t>LOT_ATTRIBUTE.VIEHBESATZ</t>
  </si>
  <si>
    <t>LOT_ATTRIBUTE.VIEHLOS</t>
  </si>
  <si>
    <t>LOT_ATTRIBUTE.WDGV1</t>
  </si>
  <si>
    <t>LOT_ATTRIBUTE.WDLJ</t>
  </si>
  <si>
    <t>LOT_ATTRIBUTE.WDTS1</t>
  </si>
  <si>
    <t>LOT_ATTRIBUTE.WDTS2</t>
  </si>
  <si>
    <t>LOT_CROP.ABFUHR_GANZE_PFLANZE</t>
  </si>
  <si>
    <t>LOT_CROP.ABGEFROREN</t>
  </si>
  <si>
    <t>LOT_CROP.ANBAU_DATUM+PC</t>
  </si>
  <si>
    <t>LOT_CROP.ANBAU_DATUM</t>
  </si>
  <si>
    <t>LOT_CROP.BEREGNUNG</t>
  </si>
  <si>
    <t>LOT_CROP.BESTANDSENTWICKLUNG</t>
  </si>
  <si>
    <t>LOT_CROP.BESTELLUNG</t>
  </si>
  <si>
    <t>LOT_CROP.BODENABDECKUNG</t>
  </si>
  <si>
    <t>LOT_CROP.BRACHE+PC</t>
  </si>
  <si>
    <t>LOT_CROP.BRACHE</t>
  </si>
  <si>
    <t>LOT_CROP.EC</t>
  </si>
  <si>
    <t>LOT_CROP.EINARBEITUNG</t>
  </si>
  <si>
    <t>LOT_CROP.ERNTEJAHR</t>
  </si>
  <si>
    <t>LOT_CROP.ERTRAGSNIVEAU</t>
  </si>
  <si>
    <t>LOT_CROP.ERTRAGSZIEL</t>
  </si>
  <si>
    <t>LOT_CROP.ERTRAGSZIEL+PC</t>
  </si>
  <si>
    <t>LOT_CROP.FRUCHT_ART+PC</t>
  </si>
  <si>
    <t>LOT_CROP.FRUCHT_ART</t>
  </si>
  <si>
    <t>LOT_CROP.KARTOFFEL_GRUPPE</t>
  </si>
  <si>
    <t>LOT_CROP.LEGUMINOSEN</t>
  </si>
  <si>
    <t>LOT_CROP.LEGUMINOSEN_ANTEIL</t>
  </si>
  <si>
    <t>LOT_CROP.MIT_NUTZUNG</t>
  </si>
  <si>
    <t>LOT_CROP.RAPS_BLATTVERLUSTE</t>
  </si>
  <si>
    <t>LOT_CROP.RAPS_SPROSSFRISCHMASSE</t>
  </si>
  <si>
    <t>LOT_CROP.RAPS_WURZELHALSDURCHME</t>
  </si>
  <si>
    <t>LOT_CROP.ROHPROTEIN_GEHALT</t>
  </si>
  <si>
    <t>LOT_CROP.ROTES_GEBIET</t>
  </si>
  <si>
    <t>LOT_CROP.SCHNITT_ANZAHL</t>
  </si>
  <si>
    <t>LOT_CROP.SORTE</t>
  </si>
  <si>
    <t>LOT_CROP.VEGETATIONSBEGINN</t>
  </si>
  <si>
    <t>LOT_CROP.VERWENDUNG</t>
  </si>
  <si>
    <t>LOT_CROP.WEIDE_ANTEIL</t>
  </si>
  <si>
    <t>LOT_CROP.ZWFRUCHT</t>
  </si>
  <si>
    <t>LOT_CROP.ZWFRUEIN</t>
  </si>
  <si>
    <t>LOT_CROP.ZWFRUEINDAT</t>
  </si>
  <si>
    <t>LOT_FERTILIZERS.DUENGER_ART_1</t>
  </si>
  <si>
    <t>LOT_FERTILIZERS.DUENGE_DATUM_1</t>
  </si>
  <si>
    <t>LOT_FERTILIZERS.DUENGER_MENGE_1</t>
  </si>
  <si>
    <t>LOT_FERTILIZERS.STICKSTOFFGEHALT_1</t>
  </si>
  <si>
    <t>LOT_FERTILIZERS.STABIL_NDUENGER_1</t>
  </si>
  <si>
    <t>LOT_FERTILIZERS.DUENGER_ART_2</t>
  </si>
  <si>
    <t>LOT_FERTILIZERS.DUENGE_DATUM_2</t>
  </si>
  <si>
    <t>LOT_FERTILIZERS.DUENGER_MENGE_2</t>
  </si>
  <si>
    <t>LOT_FERTILIZERS.STICKSTOFFGEHALT_2</t>
  </si>
  <si>
    <t>LOT_FERTILIZERS.STABIL_NDUENGER_2</t>
  </si>
  <si>
    <t>LOT_FERTILIZERS.DUENGER_ART_3</t>
  </si>
  <si>
    <t>LOT_FERTILIZERS.DUENGE_DATUM_3</t>
  </si>
  <si>
    <t>LOT_FERTILIZERS.DUENGER_MENGE_3</t>
  </si>
  <si>
    <t>LOT_FERTILIZERS.STICKSTOFFGEHALT_3</t>
  </si>
  <si>
    <t>LOT_FERTILIZERS.STABIL_NDUENGER_3</t>
  </si>
  <si>
    <t>LOT_FERTILIZERS.DUENGER_ART_4</t>
  </si>
  <si>
    <t>LOT_FERTILIZERS.DUENGE_DATUM_4</t>
  </si>
  <si>
    <t>LOT_FERTILIZERS.DUENGER_MENGE_4</t>
  </si>
  <si>
    <t>LOT_FERTILIZERS.STICKSTOFFGEHALT_4</t>
  </si>
  <si>
    <t>LOT_FERTILIZERS.STABIL_NDUENGER_4</t>
  </si>
  <si>
    <t>LOT_FERTILIZERS.DUENGER_ART_5</t>
  </si>
  <si>
    <t>LOT_FERTILIZERS.DUENGE_DATUM_5</t>
  </si>
  <si>
    <t>LOT_FERTILIZERS.DUENGER_MENGE_5</t>
  </si>
  <si>
    <t>LOT_FERTILIZERS.STICKSTOFFGEHALT_5</t>
  </si>
  <si>
    <t>LOT_FERTILIZERS.STABIL_NDUENGER_5</t>
  </si>
  <si>
    <t xml:space="preserve">LF.gm_zf_abgefroren1         </t>
  </si>
  <si>
    <t xml:space="preserve">LF.gm_zf_abgefroren2         </t>
  </si>
  <si>
    <t xml:space="preserve">LF.gm_abgefroren1            </t>
  </si>
  <si>
    <t xml:space="preserve">LF.gm_abgefroren2            </t>
  </si>
  <si>
    <t>LF.STICKSTOFF_GESAMT</t>
  </si>
  <si>
    <t>LEER</t>
  </si>
  <si>
    <t>FB31</t>
  </si>
  <si>
    <t>FID31</t>
  </si>
  <si>
    <t>j</t>
  </si>
  <si>
    <t>n</t>
  </si>
  <si>
    <t>LO-ZUS310</t>
  </si>
  <si>
    <t>F31</t>
  </si>
  <si>
    <t>FS31</t>
  </si>
  <si>
    <t>G31</t>
  </si>
  <si>
    <t>ERF01</t>
  </si>
  <si>
    <t>PRNR310</t>
  </si>
  <si>
    <t>PB_SERW310</t>
  </si>
  <si>
    <t>Zusatzinfo Analyse 1</t>
  </si>
  <si>
    <t>P-Spez1-1</t>
  </si>
  <si>
    <t>P-Spez2-1</t>
  </si>
  <si>
    <t>P-Spez3-1</t>
  </si>
  <si>
    <t>Zusatzinfo Lot</t>
  </si>
  <si>
    <t>Win</t>
  </si>
  <si>
    <t>pfl</t>
  </si>
  <si>
    <t>1SG</t>
  </si>
  <si>
    <t>Sorte1</t>
  </si>
  <si>
    <t>KEB</t>
  </si>
  <si>
    <t>ZFaha</t>
  </si>
  <si>
    <r>
      <t xml:space="preserve">Öffnen Sie die alte xlsm-Quittung und </t>
    </r>
    <r>
      <rPr>
        <b/>
        <i/>
        <u/>
        <sz val="11"/>
        <color rgb="FFFF6600"/>
        <rFont val="Arial"/>
        <family val="2"/>
      </rPr>
      <t>löschen Sie das rote Tabellenblatt (WICHTIG)</t>
    </r>
    <r>
      <rPr>
        <i/>
        <sz val="11"/>
        <color rgb="FFFF6600"/>
        <rFont val="Arial"/>
        <family val="2"/>
      </rPr>
      <t>:</t>
    </r>
    <r>
      <rPr>
        <sz val="11"/>
        <color rgb="FFFF6600"/>
        <rFont val="Arial"/>
        <family val="2"/>
      </rPr>
      <t xml:space="preserve"> </t>
    </r>
    <r>
      <rPr>
        <sz val="11"/>
        <color theme="1"/>
        <rFont val="Arial"/>
        <family val="2"/>
      </rPr>
      <t>rechte Maustaste → Löschen)</t>
    </r>
  </si>
  <si>
    <t>H:\!-Puffer\Test\</t>
  </si>
  <si>
    <t>H:\!-Puffer\Quittung\</t>
  </si>
  <si>
    <t>Postbefund</t>
  </si>
  <si>
    <t>Postrechnung</t>
  </si>
  <si>
    <t>Postbefund (x) ?</t>
  </si>
  <si>
    <t>Postrechnung (x) ?</t>
  </si>
  <si>
    <t>MR</t>
  </si>
  <si>
    <t>Ortsteil</t>
  </si>
  <si>
    <t>3.1  Erfassen der Auftragskopfdaten (die orangen Felder sind Pflichtfelder)</t>
  </si>
  <si>
    <t>Anmerkungen</t>
  </si>
  <si>
    <t>A1) Postbefund und Postrechnung: Es wird generell angenommen, dass bei Vorliegen einer e-mail-Adresse beim landwirtschaftlichen Betrieb KEIN Postalischer Versand stattfindet. Soll trotzdem der Befund bzw. die Rechnung per Papier-Post versendet werden, bitte ankreuzen (bitte beachten: In diesem Fall fällt ein zusätzlicher Rechnungsposten Porto/Versand an)</t>
  </si>
  <si>
    <t>A1) extrem wichtig: Tütenbarcode – das ist das einzige Erkennungsmerkmal der Probe, die physisch im Labor eintrifft!</t>
  </si>
  <si>
    <r>
      <t xml:space="preserve">Verzeichnis für csv an Agrolab
</t>
    </r>
    <r>
      <rPr>
        <b/>
        <sz val="10"/>
        <color theme="9" tint="-0.249977111117893"/>
        <rFont val="Calibri"/>
        <family val="2"/>
        <scheme val="minor"/>
      </rPr>
      <t>(endet mit \)</t>
    </r>
  </si>
  <si>
    <r>
      <t xml:space="preserve">Verzeichnis für xlsm als Quittung und Kistenpdf
</t>
    </r>
    <r>
      <rPr>
        <b/>
        <sz val="10"/>
        <color theme="9" tint="-0.249977111117893"/>
        <rFont val="Calibri"/>
        <family val="2"/>
        <scheme val="minor"/>
      </rPr>
      <t>(endet mit \)</t>
    </r>
  </si>
  <si>
    <t>(Anmerkung1: wenn Sie nicht wünschen, dass das pdf automatisch geöffnet wird, sagen Sie bescheid, damit wir diesen Schritt aus dem Makro entfernen können)</t>
  </si>
  <si>
    <t>PN-Preis/Pr. 1 Schicht 0-30</t>
  </si>
  <si>
    <t>PN-Preis/Pr. 2 Schichten 0-60</t>
  </si>
  <si>
    <t>PN-Preis/Pr. 3 Schichten 0-90</t>
  </si>
  <si>
    <t>PN-Preis/Schicht</t>
  </si>
  <si>
    <t>Spalte22</t>
  </si>
  <si>
    <t>Steingehalt</t>
  </si>
  <si>
    <t>PN0-30</t>
  </si>
  <si>
    <t>PN0-x</t>
  </si>
  <si>
    <t>Code liste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</si>
  <si>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</si>
  <si>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</si>
  <si>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</si>
  <si>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</si>
  <si>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</si>
  <si>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</si>
  <si>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</si>
  <si>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</si>
  <si>
    <t>Nmin</t>
  </si>
  <si>
    <t>Spalte23</t>
  </si>
  <si>
    <t>Spalte222</t>
  </si>
  <si>
    <t>Spalte6</t>
  </si>
  <si>
    <t>Spalte7</t>
  </si>
  <si>
    <t>Spalte16</t>
  </si>
  <si>
    <t>Spalte17</t>
  </si>
  <si>
    <t>Spalte18</t>
  </si>
  <si>
    <t>Spalte19</t>
  </si>
  <si>
    <t>Spalte20</t>
  </si>
  <si>
    <t>Spalte21</t>
  </si>
  <si>
    <t>Spalte24</t>
  </si>
  <si>
    <t>Spalte25</t>
  </si>
  <si>
    <t>Spalte26</t>
  </si>
  <si>
    <t>Spalte27</t>
  </si>
  <si>
    <t>Spalte28</t>
  </si>
  <si>
    <t>Spalte29</t>
  </si>
  <si>
    <t>Spalte30</t>
  </si>
  <si>
    <t>Vorfrucht</t>
  </si>
  <si>
    <t>Hauptfrucht</t>
  </si>
  <si>
    <t>B</t>
  </si>
  <si>
    <t>C</t>
  </si>
  <si>
    <t>D</t>
  </si>
  <si>
    <t>Auftragsverteiler</t>
  </si>
  <si>
    <t>F</t>
  </si>
  <si>
    <t>G</t>
  </si>
  <si>
    <t>Der digitale Probenbegleitschein im Bereich Nmin ist eine Excel-Datei im Format xltm (also eine Excel-Vorlage mit eingebetteten Makros).</t>
  </si>
  <si>
    <t>TYP Nmin</t>
  </si>
  <si>
    <t>Typ Nmin</t>
  </si>
  <si>
    <t>Nmin Standard</t>
  </si>
  <si>
    <t>TYP</t>
  </si>
  <si>
    <t>Nmin-Typ</t>
  </si>
  <si>
    <r>
      <rPr>
        <sz val="11"/>
        <color rgb="FFFF6600"/>
        <rFont val="Calibri"/>
        <family val="2"/>
        <scheme val="minor"/>
      </rPr>
      <t xml:space="preserve">A3) ACHTUNG: </t>
    </r>
    <r>
      <rPr>
        <sz val="11"/>
        <color theme="1"/>
        <rFont val="Calibri"/>
        <family val="2"/>
        <scheme val="minor"/>
      </rPr>
      <t xml:space="preserve">Bei Eingabe der </t>
    </r>
    <r>
      <rPr>
        <sz val="11"/>
        <color rgb="FFFF6600"/>
        <rFont val="Calibri"/>
        <family val="2"/>
        <scheme val="minor"/>
      </rPr>
      <t xml:space="preserve">Kundenummer AGROLAB </t>
    </r>
    <r>
      <rPr>
        <sz val="11"/>
        <color theme="1"/>
        <rFont val="Calibri"/>
        <family val="2"/>
        <scheme val="minor"/>
      </rPr>
      <t>werden in der Agrolab-Datenbank die Detail-Adressdaten mit den hier gemachten Angabe überschrieben (z.B. Name)</t>
    </r>
  </si>
  <si>
    <t>Legende</t>
  </si>
  <si>
    <t>Code</t>
  </si>
  <si>
    <t>Fruchtart</t>
  </si>
  <si>
    <t>A4) Vorfrucht/Hauptfrucht: Bitte wählen Sie einen Code aus Arbeitblatt "Einstellungen+Makro" - Spalte A (ab Zeile 19)</t>
  </si>
  <si>
    <t>PN0-60</t>
  </si>
  <si>
    <t>PN0-90</t>
  </si>
  <si>
    <t>Tütenbarcode
SCHICHT 1</t>
  </si>
  <si>
    <t>Tütenbarcode
SCHICHT 2</t>
  </si>
  <si>
    <t>Tütenbarcode
SCHICHT 3</t>
  </si>
  <si>
    <t>Spalte32</t>
  </si>
  <si>
    <t>Spalte33</t>
  </si>
  <si>
    <t>Smin-Zusatz 7901
SCHICHT1</t>
  </si>
  <si>
    <t>Smin-Zusatz 7901
SCHICHT1-3</t>
  </si>
  <si>
    <t>Option 1</t>
  </si>
  <si>
    <t>Option 2</t>
  </si>
  <si>
    <t>Option 3</t>
  </si>
  <si>
    <r>
      <t>Untersuchungsauftrag für Agrar-</t>
    </r>
    <r>
      <rPr>
        <b/>
        <sz val="16"/>
        <color rgb="FFFF6600"/>
        <rFont val="Arial"/>
        <family val="2"/>
      </rPr>
      <t>Nminuntersuchung-306090</t>
    </r>
    <r>
      <rPr>
        <b/>
        <sz val="16"/>
        <color theme="1"/>
        <rFont val="Arial"/>
        <family val="2"/>
      </rPr>
      <t xml:space="preserve">
(KEINE Std-Boden-Beauftragung)</t>
    </r>
  </si>
  <si>
    <t>Tütenbarcode 1</t>
  </si>
  <si>
    <t>Tütenbarcode 2</t>
  </si>
  <si>
    <t>Tütenbarcode 3</t>
  </si>
  <si>
    <t>AnzahlPN-Stellen</t>
  </si>
  <si>
    <t>Nmin 306090 +++ Begleitschein an Agrolab +++ Nmin 306090</t>
  </si>
  <si>
    <t>Paket-Nummer</t>
  </si>
  <si>
    <t>nur Standard möglich</t>
  </si>
  <si>
    <t>A2) hier ist nur Typ "Nmin Satndard" möglich</t>
  </si>
  <si>
    <t>A3) Eine Schlagnummer muß angegeben werden (und darf nur numerisch sein)</t>
  </si>
  <si>
    <t>A5) Analysenumfang: Stand 20.08.2024: Nur möglich: Nmin Standard (verpflichtend für ALLE Proben), Smin in erster Schicht, Smin in Schicht 1-3</t>
  </si>
  <si>
    <t>PBS-N306090</t>
  </si>
  <si>
    <t>3.2. Erfassen der Probendetails  (die orangen Felder sind Pflichtfelder)</t>
  </si>
  <si>
    <t>3.3 Makro zur Erzeugung aller Folge-Dateien ausführen (Es ist das grüne Makro)</t>
  </si>
  <si>
    <r>
      <t>3.3.1</t>
    </r>
    <r>
      <rPr>
        <i/>
        <sz val="7"/>
        <color rgb="FFFF6600"/>
        <rFont val="Times New Roman"/>
        <family val="1"/>
      </rPr>
      <t xml:space="preserve">  </t>
    </r>
    <r>
      <rPr>
        <b/>
        <sz val="11"/>
        <color theme="1"/>
        <rFont val="Arial"/>
        <family val="2"/>
      </rPr>
      <t>csv-Datei</t>
    </r>
    <r>
      <rPr>
        <sz val="11"/>
        <color theme="1"/>
        <rFont val="Arial"/>
        <family val="2"/>
      </rPr>
      <t xml:space="preserve"> – diese wird an Agrolab übermittelt und stellt den eigentlichen digitalen Auftrag dar
</t>
    </r>
    <r>
      <rPr>
        <sz val="11"/>
        <color rgb="FFFF6600"/>
        <rFont val="Arial"/>
        <family val="2"/>
      </rPr>
      <t>(Bitte übermitteln Sie diese csv-Datei möglichst vor dem Probeneingang an das Labor)</t>
    </r>
  </si>
  <si>
    <r>
      <t>3.3.2</t>
    </r>
    <r>
      <rPr>
        <sz val="7"/>
        <color theme="1"/>
        <rFont val="Times New Roman"/>
        <family val="1"/>
      </rPr>
      <t xml:space="preserve">  </t>
    </r>
    <r>
      <rPr>
        <b/>
        <sz val="11"/>
        <color theme="1"/>
        <rFont val="Arial"/>
        <family val="2"/>
      </rPr>
      <t>xlsm-Datei</t>
    </r>
    <r>
      <rPr>
        <sz val="11"/>
        <color theme="1"/>
        <rFont val="Arial"/>
        <family val="2"/>
      </rPr>
      <t>: Diese dient dem Auftraggeber als Quittung. Sie kann auch für zukünftige Aufträge als dPBS wiederverwendet werden</t>
    </r>
  </si>
  <si>
    <t>3.3.4 Automatisch öffnet sich ihr  pdf-Programm (üblicherweise AcrobatReader) mit dem pdf, das soeben erzeugt wurde. Sie können es ausdrucken und zu Ihren Proben in die Kiste legen.</t>
  </si>
  <si>
    <r>
      <t>3.3.3</t>
    </r>
    <r>
      <rPr>
        <b/>
        <sz val="11"/>
        <color theme="1"/>
        <rFont val="Arial"/>
        <family val="2"/>
      </rPr>
      <t xml:space="preserve"> pdf-Date</t>
    </r>
    <r>
      <rPr>
        <sz val="11"/>
        <color theme="1"/>
        <rFont val="Arial"/>
        <family val="2"/>
      </rPr>
      <t xml:space="preserve">i als Probenbegleitschein. </t>
    </r>
    <r>
      <rPr>
        <i/>
        <sz val="11"/>
        <color rgb="FFFF6600"/>
        <rFont val="Arial"/>
        <family val="2"/>
      </rPr>
      <t>Dieser sollte ausgedruckt und der Kiste mit Proben beigefügt werden
 (besonders wichtig: Nmin-Typ, aus dem das Labor entnimmt auf welcher Schiene die Proben ins Labor geschleust werden müssen (Extraktionsmethode))</t>
    </r>
  </si>
  <si>
    <r>
      <t>(Anmerkung2:</t>
    </r>
    <r>
      <rPr>
        <sz val="11"/>
        <color theme="9" tint="-0.249977111117893"/>
        <rFont val="Arial"/>
        <family val="2"/>
      </rPr>
      <t xml:space="preserve"> </t>
    </r>
    <r>
      <rPr>
        <sz val="11"/>
        <color rgb="FFFF6600"/>
        <rFont val="Arial"/>
        <family val="2"/>
      </rPr>
      <t xml:space="preserve">Bitte in JEDE Kiste eine Zettel oben auflegen mit Angabe zum Nmin-Typ (Nmin Standrad) </t>
    </r>
    <r>
      <rPr>
        <sz val="11"/>
        <color theme="1"/>
        <rFont val="Arial"/>
        <family val="2"/>
      </rPr>
      <t>- Am besten ist dieser Begleitschein, es geht aber auch informeller, falls kein Drucker zur Verfügung) - Das ist notwendig für den ersten Prozeßschritt im Labor (Zuordnung der Kiste zu Nmin)</t>
    </r>
  </si>
  <si>
    <t>N306090</t>
  </si>
  <si>
    <t>Steingehalt Schicht1</t>
  </si>
  <si>
    <t>Steingehalt Schicht2</t>
  </si>
  <si>
    <t>Steingehalt Schicht3</t>
  </si>
  <si>
    <t>gesamte Datei</t>
  </si>
  <si>
    <t>Erst-release + Versand INGUS, IGLU, ZWO</t>
  </si>
  <si>
    <t>csv-Arbeitsblatt</t>
  </si>
  <si>
    <t>Anpassung für nur EINE Probe in Makro</t>
  </si>
  <si>
    <t>1.03</t>
  </si>
  <si>
    <t>A2) die lfd.Nr./GPS muß eindeutig für die Probenahmestelle sein. ALLE Schichten einer Probe(nahmestelle) haben eine gemeinsame Nummer
Bei der Eingabe z.B nur des Tütenbarcodes wird die lfd.Nr./GPS-Nr. automatisch vergeben - kann aber jederzeit überschrieben werden.</t>
  </si>
  <si>
    <t>Arbeitsblatt "Proben"</t>
  </si>
  <si>
    <t>sich erweiternde Tabelle im Arbeitsblatt Proben mit Warnmarkierung bei Tütenbarcodes</t>
  </si>
  <si>
    <t>dPBS-N306090 Version 1.04 Bedienungsanleitung</t>
  </si>
  <si>
    <t>max16Zeichen</t>
  </si>
  <si>
    <t>max15Zeichen</t>
  </si>
  <si>
    <t>1.04</t>
  </si>
  <si>
    <t>NICHT für Nmin verwenden</t>
  </si>
  <si>
    <t>BODTYP</t>
  </si>
  <si>
    <r>
      <t xml:space="preserve">Schlagname
</t>
    </r>
    <r>
      <rPr>
        <b/>
        <sz val="10"/>
        <rFont val="Arial"/>
        <family val="2"/>
      </rPr>
      <t>(max.20)</t>
    </r>
  </si>
  <si>
    <r>
      <t xml:space="preserve">Erweiterung Schlagname
</t>
    </r>
    <r>
      <rPr>
        <b/>
        <sz val="10"/>
        <rFont val="Arial"/>
        <family val="2"/>
      </rPr>
      <t>(nicht auf pdf-Befund # max.15)</t>
    </r>
  </si>
  <si>
    <r>
      <t xml:space="preserve">lfd.Nr. /GPS
</t>
    </r>
    <r>
      <rPr>
        <b/>
        <sz val="10"/>
        <rFont val="Arial"/>
        <family val="2"/>
      </rPr>
      <t>(max.5)</t>
    </r>
  </si>
  <si>
    <t>Änderung auf Version 1.04: In Arbeitsblatt Proben werden die Zeilen in der Tabelle in ihrer Formatierung automatisch fortgeführt. Die Vorgängerversionen können uneingeschränkt weiter verwendet werden</t>
  </si>
  <si>
    <t>Ausblenden Teilschlagnummer (diese verhindert eine Erstellung des pdf-Befundes)</t>
  </si>
  <si>
    <t>Bodenarten und Humusklasse</t>
  </si>
  <si>
    <t>bei Bedarf bitte den roten Code angeben</t>
  </si>
  <si>
    <t>Bodenarten Agrolab nach BODARTCOD</t>
  </si>
  <si>
    <t>Code für 
Bodenart</t>
  </si>
  <si>
    <t>AL-Kürzel</t>
  </si>
  <si>
    <t>AL-Bezeichnung</t>
  </si>
  <si>
    <t>Ton-
gehalt [%]</t>
  </si>
  <si>
    <t>Schluff-
gehalt [%]</t>
  </si>
  <si>
    <t>S</t>
  </si>
  <si>
    <t>Sand</t>
  </si>
  <si>
    <t>0-5</t>
  </si>
  <si>
    <t>&lt;10</t>
  </si>
  <si>
    <t>l´S</t>
  </si>
  <si>
    <t>schwach lehmiger Sand</t>
  </si>
  <si>
    <t>5-12
0-5</t>
  </si>
  <si>
    <t>&lt;50
10-40</t>
  </si>
  <si>
    <t>alternativ: slS</t>
  </si>
  <si>
    <t>lS</t>
  </si>
  <si>
    <t>stark lehmiger Sand</t>
  </si>
  <si>
    <t>12-17
0-5</t>
  </si>
  <si>
    <t>&lt;50
40-50</t>
  </si>
  <si>
    <t>sL</t>
  </si>
  <si>
    <t>sandiger Lehm</t>
  </si>
  <si>
    <t>17-25</t>
  </si>
  <si>
    <t>&lt;50</t>
  </si>
  <si>
    <t>uL</t>
  </si>
  <si>
    <t>Lehm, schluffiger Lehm</t>
  </si>
  <si>
    <t>&lt;25</t>
  </si>
  <si>
    <t>&gt;50</t>
  </si>
  <si>
    <t>tL</t>
  </si>
  <si>
    <t>toniger Lehm</t>
  </si>
  <si>
    <t>25-45</t>
  </si>
  <si>
    <t>lT</t>
  </si>
  <si>
    <t>lehmiger Ton</t>
  </si>
  <si>
    <t>45-65</t>
  </si>
  <si>
    <t>T</t>
  </si>
  <si>
    <t>Ton</t>
  </si>
  <si>
    <t>&gt;65</t>
  </si>
  <si>
    <t>Humusklassen Agrolab nach BODTYP</t>
  </si>
  <si>
    <t>Code für 
Humusklasse</t>
  </si>
  <si>
    <t>AL-Kürzel
(auf Befund codiert in Bodenart)</t>
  </si>
  <si>
    <t>AL-Bezeichnung
(in Schnittstellen-Datei)</t>
  </si>
  <si>
    <t>Humusgehalt [%]</t>
  </si>
  <si>
    <t>vgl. Helper-System
HUMUSSTUFE</t>
  </si>
  <si>
    <t>[ohne]</t>
  </si>
  <si>
    <t>Humusarm bis humos</t>
  </si>
  <si>
    <t>0-4</t>
  </si>
  <si>
    <t>1 (0-2%)+2 (2-4%)</t>
  </si>
  <si>
    <t>h</t>
  </si>
  <si>
    <t>Stark humos</t>
  </si>
  <si>
    <t>4,1-8</t>
  </si>
  <si>
    <t>hh</t>
  </si>
  <si>
    <t>Sehr stark humos</t>
  </si>
  <si>
    <t>8,1-15</t>
  </si>
  <si>
    <t>an</t>
  </si>
  <si>
    <t>Anmoorig</t>
  </si>
  <si>
    <t>15,1-30</t>
  </si>
  <si>
    <t>M</t>
  </si>
  <si>
    <t>Moorboden</t>
  </si>
  <si>
    <t>&gt;30</t>
  </si>
  <si>
    <t>6=7</t>
  </si>
  <si>
    <t>Bodenarten: Beschreibung aktualisiert</t>
  </si>
  <si>
    <t>Stand Januar 2025</t>
  </si>
  <si>
    <t>sich erweiternde Tabelle im Arbeitsblatt Proben mit Warnmarkierung bei Schlagname, Schlagerweiterung, lfdNr (jeweils wenn maximale Länge überschritten)</t>
  </si>
  <si>
    <t>Stand: 23.01.2025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</si>
</sst>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*&quot;0&quot;-&quot;;;;&quot;*&quot;@&quot;*&quot;"/>
    <numFmt numFmtId="165" formatCode="00000"/>
    <numFmt numFmtId="166" formatCode="#,##0.00\ _€"/>
    <numFmt numFmtId="167" formatCode="yyyymmdd"/>
  </numFmts>
  <fonts count="10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20"/>
      <color theme="1"/>
      <name val="Arial"/>
      <family val="2"/>
    </font>
    <font>
      <b/>
      <sz val="28"/>
      <color theme="1"/>
      <name val="Arial"/>
      <family val="2"/>
    </font>
    <font>
      <b/>
      <sz val="12"/>
      <color rgb="FFFFC000"/>
      <name val="Arial"/>
      <family val="2"/>
    </font>
    <font>
      <sz val="16"/>
      <color theme="1"/>
      <name val="Arial"/>
      <family val="2"/>
    </font>
    <font>
      <sz val="18"/>
      <color theme="1"/>
      <name val="IDAutomationHC39M Free Version"/>
      <family val="1"/>
      <charset val="2"/>
    </font>
    <font>
      <u/>
      <sz val="11"/>
      <color theme="10"/>
      <name val="Calibri"/>
      <family val="2"/>
      <scheme val="minor"/>
    </font>
    <font>
      <b/>
      <sz val="12"/>
      <color rgb="FFFFFF00"/>
      <name val="Arial"/>
      <family val="2"/>
    </font>
    <font>
      <b/>
      <sz val="14"/>
      <color rgb="FFFFC000"/>
      <name val="Arial"/>
      <family val="2"/>
    </font>
    <font>
      <sz val="16"/>
      <color theme="1"/>
      <name val="Calibri"/>
      <family val="2"/>
      <scheme val="minor"/>
    </font>
    <font>
      <b/>
      <sz val="12"/>
      <color theme="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u/>
      <sz val="14"/>
      <color theme="10"/>
      <name val="Arial"/>
      <family val="2"/>
    </font>
    <font>
      <b/>
      <sz val="8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i/>
      <sz val="11"/>
      <color rgb="FF00B0F0"/>
      <name val="Calibri"/>
      <family val="2"/>
      <scheme val="minor"/>
    </font>
    <font>
      <sz val="10"/>
      <color rgb="FF067D17"/>
      <name val="JetBrains Mono"/>
      <family val="3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F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6"/>
      <color rgb="FFFA7D00"/>
      <name val="Arial"/>
      <family val="2"/>
    </font>
    <font>
      <b/>
      <sz val="8"/>
      <color rgb="FF3F3F3F"/>
      <name val="Calibri"/>
      <family val="2"/>
      <scheme val="minor"/>
    </font>
    <font>
      <b/>
      <sz val="8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  <font>
      <i/>
      <sz val="8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61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color rgb="FF9C6500"/>
      <name val="Calibri"/>
      <family val="2"/>
      <scheme val="minor"/>
    </font>
    <font>
      <sz val="8"/>
      <color indexed="8"/>
      <name val="Calibri"/>
      <family val="2"/>
    </font>
    <font>
      <sz val="8"/>
      <color rgb="FF9C0006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sz val="8"/>
      <color rgb="FFFA7D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6"/>
      <color rgb="FFCCFFCC"/>
      <name val="Arial"/>
      <family val="2"/>
    </font>
    <font>
      <sz val="16"/>
      <color rgb="FF92D050"/>
      <name val="Arial"/>
      <family val="2"/>
    </font>
    <font>
      <sz val="24"/>
      <color theme="1"/>
      <name val="Arial"/>
      <family val="2"/>
    </font>
    <font>
      <sz val="11"/>
      <color theme="9" tint="0.59999389629810485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C000"/>
      <name val="Arial"/>
      <family val="2"/>
    </font>
    <font>
      <sz val="26"/>
      <color rgb="FF17365D"/>
      <name val="Cambria"/>
      <family val="1"/>
    </font>
    <font>
      <sz val="7"/>
      <color theme="1"/>
      <name val="Times New Roman"/>
      <family val="1"/>
    </font>
    <font>
      <i/>
      <sz val="11"/>
      <color rgb="FFFF6600"/>
      <name val="Arial"/>
      <family val="2"/>
    </font>
    <font>
      <i/>
      <sz val="7"/>
      <color rgb="FFFF6600"/>
      <name val="Times New Roman"/>
      <family val="1"/>
    </font>
    <font>
      <sz val="11"/>
      <color rgb="FFFF6600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u/>
      <sz val="11"/>
      <color theme="10"/>
      <name val="Arial"/>
      <family val="2"/>
    </font>
    <font>
      <sz val="8"/>
      <name val="Calibri"/>
      <family val="2"/>
      <scheme val="minor"/>
    </font>
    <font>
      <b/>
      <sz val="16"/>
      <color rgb="FF339966"/>
      <name val="Arial"/>
      <family val="2"/>
    </font>
    <font>
      <sz val="20"/>
      <color rgb="FFFF6600"/>
      <name val="Arial"/>
      <family val="2"/>
    </font>
    <font>
      <b/>
      <i/>
      <u/>
      <sz val="11"/>
      <color rgb="FFFF6600"/>
      <name val="Arial"/>
      <family val="2"/>
    </font>
    <font>
      <b/>
      <sz val="16"/>
      <color rgb="FFFF0000"/>
      <name val="Arial"/>
      <family val="2"/>
    </font>
    <font>
      <sz val="18"/>
      <color theme="1"/>
      <name val="Calibri"/>
      <family val="2"/>
      <scheme val="minor"/>
    </font>
    <font>
      <sz val="18"/>
      <color theme="1"/>
      <name val="Arial"/>
      <family val="2"/>
    </font>
    <font>
      <b/>
      <i/>
      <sz val="11"/>
      <color rgb="FFFF6600"/>
      <name val="Arial"/>
      <family val="2"/>
    </font>
    <font>
      <b/>
      <sz val="10"/>
      <color theme="9" tint="-0.249977111117893"/>
      <name val="Calibri"/>
      <family val="2"/>
      <scheme val="minor"/>
    </font>
    <font>
      <sz val="11"/>
      <color theme="9" tint="-0.249977111117893"/>
      <name val="Arial"/>
      <family val="2"/>
    </font>
    <font>
      <sz val="11"/>
      <color rgb="FFFF6600"/>
      <name val="Calibri"/>
      <family val="2"/>
      <scheme val="minor"/>
    </font>
    <font>
      <b/>
      <sz val="12"/>
      <color rgb="FFFF0000"/>
      <name val="Arial"/>
      <family val="2"/>
    </font>
    <font>
      <b/>
      <sz val="16"/>
      <color rgb="FFFF6600"/>
      <name val="Arial"/>
      <family val="2"/>
    </font>
    <font>
      <b/>
      <sz val="11"/>
      <color rgb="FFFF6600"/>
      <name val="Arial"/>
      <family val="2"/>
    </font>
    <font>
      <sz val="16"/>
      <color rgb="FF99CCFF"/>
      <name val="Arial"/>
      <family val="2"/>
    </font>
    <font>
      <sz val="18"/>
      <color rgb="FFFF6600"/>
      <name val="Calibri"/>
      <family val="2"/>
      <scheme val="minor"/>
    </font>
    <font>
      <b/>
      <sz val="18"/>
      <color rgb="FFFF6600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0"/>
      <color theme="1"/>
      <name val="Arial"/>
      <family val="2"/>
    </font>
    <font>
      <i/>
      <sz val="11"/>
      <name val="Arial"/>
      <family val="2"/>
    </font>
    <font>
      <b/>
      <sz val="16"/>
      <color theme="3"/>
      <name val="Cambria"/>
      <family val="2"/>
      <scheme val="major"/>
    </font>
    <font>
      <sz val="12"/>
      <color theme="1"/>
      <name val="Arial"/>
      <family val="2"/>
    </font>
    <font>
      <b/>
      <sz val="11"/>
      <color rgb="FFCC00CC"/>
      <name val="Calibri"/>
      <family val="2"/>
      <scheme val="minor"/>
    </font>
    <font>
      <sz val="11"/>
      <color rgb="FFCC00CC"/>
      <name val="Calibri"/>
      <family val="2"/>
      <scheme val="minor"/>
    </font>
    <font>
      <b/>
      <sz val="14"/>
      <color rgb="FFFF6600"/>
      <name val="Arial"/>
      <family val="2"/>
    </font>
    <font>
      <b/>
      <sz val="14"/>
      <color theme="1"/>
      <name val="Arial"/>
      <family val="2"/>
    </font>
    <font>
      <sz val="16"/>
      <color theme="1"/>
      <name val="Arial"/>
      <family val="2"/>
    </font>
    <font>
      <sz val="11"/>
      <color rgb="FF00B05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gradientFill>
        <stop position="0">
          <color rgb="FF92D050"/>
        </stop>
        <stop position="1">
          <color rgb="FFFFC000"/>
        </stop>
      </gradientFill>
    </fill>
    <fill>
      <patternFill patternType="solid">
        <fgColor indexed="65"/>
        <bgColor rgb="FFABFFD5"/>
      </patternFill>
    </fill>
    <fill>
      <patternFill patternType="solid">
        <fgColor rgb="FFCCFFCC"/>
        <bgColor rgb="FFABFFD5"/>
      </patternFill>
    </fill>
    <fill>
      <patternFill patternType="solid">
        <fgColor rgb="FFFFC000"/>
        <bgColor rgb="FFABFFD5"/>
      </patternFill>
    </fill>
    <fill>
      <patternFill patternType="solid">
        <fgColor theme="0"/>
        <bgColor rgb="FFABFFD5"/>
      </patternFill>
    </fill>
    <fill>
      <patternFill patternType="solid">
        <fgColor rgb="FFABFFD5"/>
        <bgColor indexed="64"/>
      </patternFill>
    </fill>
    <fill>
      <patternFill patternType="solid">
        <fgColor rgb="FFFAED9E"/>
        <bgColor rgb="FFABFFD5"/>
      </patternFill>
    </fill>
    <fill>
      <patternFill patternType="solid">
        <fgColor rgb="FFFFCC99"/>
        <bgColor rgb="FFABFFD5"/>
      </patternFill>
    </fill>
    <fill>
      <patternFill patternType="solid">
        <fgColor rgb="FFFFFFCC"/>
        <bgColor rgb="FFABFFD5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94">
    <xf numFmtId="0" fontId="0" fillId="0" borderId="0"/>
    <xf numFmtId="0" fontId="12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49" fontId="8" fillId="2" borderId="1">
      <alignment horizontal="center" vertical="center"/>
      <protection locked="0"/>
    </xf>
    <xf numFmtId="164" fontId="11" fillId="2" borderId="1" applyFill="0">
      <alignment horizontal="center" vertical="top"/>
      <protection locked="0"/>
    </xf>
    <xf numFmtId="1" fontId="7" fillId="0" borderId="1">
      <alignment horizontal="center" vertical="center"/>
    </xf>
    <xf numFmtId="0" fontId="23" fillId="5" borderId="1">
      <alignment horizontal="left" wrapText="1"/>
    </xf>
    <xf numFmtId="0" fontId="12" fillId="0" borderId="0" applyNumberFormat="0" applyFill="0" applyBorder="0" applyAlignment="0" applyProtection="0"/>
    <xf numFmtId="0" fontId="41" fillId="11" borderId="0" applyNumberFormat="0" applyBorder="0" applyAlignment="0" applyProtection="0"/>
    <xf numFmtId="0" fontId="41" fillId="13" borderId="0" applyNumberFormat="0" applyBorder="0" applyAlignment="0" applyProtection="0"/>
    <xf numFmtId="0" fontId="41" fillId="15" borderId="0" applyNumberFormat="0" applyBorder="0" applyAlignment="0" applyProtection="0"/>
    <xf numFmtId="0" fontId="41" fillId="17" borderId="0" applyNumberFormat="0" applyBorder="0" applyAlignment="0" applyProtection="0"/>
    <xf numFmtId="0" fontId="41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12" borderId="0" applyNumberFormat="0" applyBorder="0" applyAlignment="0" applyProtection="0"/>
    <xf numFmtId="0" fontId="41" fillId="14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43" borderId="0" applyNumberFormat="0" applyBorder="0" applyAlignment="0" applyProtection="0"/>
    <xf numFmtId="0" fontId="41" fillId="46" borderId="0" applyNumberFormat="0" applyBorder="0" applyAlignment="0" applyProtection="0"/>
    <xf numFmtId="0" fontId="42" fillId="35" borderId="0" applyNumberFormat="0" applyBorder="0" applyAlignment="0" applyProtection="0"/>
    <xf numFmtId="0" fontId="42" fillId="37" borderId="0" applyNumberFormat="0" applyBorder="0" applyAlignment="0" applyProtection="0"/>
    <xf numFmtId="0" fontId="42" fillId="39" borderId="0" applyNumberFormat="0" applyBorder="0" applyAlignment="0" applyProtection="0"/>
    <xf numFmtId="0" fontId="42" fillId="41" borderId="0" applyNumberFormat="0" applyBorder="0" applyAlignment="0" applyProtection="0"/>
    <xf numFmtId="0" fontId="42" fillId="44" borderId="0" applyNumberFormat="0" applyBorder="0" applyAlignment="0" applyProtection="0"/>
    <xf numFmtId="0" fontId="42" fillId="47" borderId="0" applyNumberFormat="0" applyBorder="0" applyAlignment="0" applyProtection="0"/>
    <xf numFmtId="0" fontId="43" fillId="5" borderId="0" applyProtection="0">
      <alignment vertical="top"/>
    </xf>
    <xf numFmtId="0" fontId="42" fillId="34" borderId="0" applyNumberFormat="0" applyBorder="0" applyAlignment="0" applyProtection="0"/>
    <xf numFmtId="0" fontId="42" fillId="36" borderId="0" applyNumberFormat="0" applyBorder="0" applyAlignment="0" applyProtection="0"/>
    <xf numFmtId="0" fontId="42" fillId="38" borderId="0" applyNumberFormat="0" applyBorder="0" applyAlignment="0" applyProtection="0"/>
    <xf numFmtId="0" fontId="42" fillId="40" borderId="0" applyNumberFormat="0" applyBorder="0" applyAlignment="0" applyProtection="0"/>
    <xf numFmtId="0" fontId="42" fillId="42" borderId="0" applyNumberFormat="0" applyBorder="0" applyAlignment="0" applyProtection="0"/>
    <xf numFmtId="0" fontId="42" fillId="45" borderId="0" applyNumberFormat="0" applyBorder="0" applyAlignment="0" applyProtection="0"/>
    <xf numFmtId="0" fontId="44" fillId="8" borderId="24" applyNumberFormat="0" applyAlignment="0" applyProtection="0"/>
    <xf numFmtId="0" fontId="45" fillId="8" borderId="23" applyNumberFormat="0" applyAlignment="0" applyProtection="0"/>
    <xf numFmtId="0" fontId="46" fillId="7" borderId="23" applyNumberFormat="0" applyAlignment="0" applyProtection="0"/>
    <xf numFmtId="0" fontId="29" fillId="0" borderId="28" applyNumberFormat="0" applyFill="0" applyAlignment="0" applyProtection="0"/>
    <xf numFmtId="0" fontId="47" fillId="0" borderId="0" applyNumberFormat="0" applyFill="0" applyBorder="0" applyAlignment="0" applyProtection="0"/>
    <xf numFmtId="0" fontId="48" fillId="48" borderId="1">
      <alignment vertical="top"/>
      <protection locked="0"/>
    </xf>
    <xf numFmtId="0" fontId="49" fillId="6" borderId="0" applyNumberFormat="0" applyBorder="0" applyAlignment="0" applyProtection="0"/>
    <xf numFmtId="0" fontId="50" fillId="0" borderId="0" applyNumberFormat="0" applyFill="0" applyBorder="0" applyAlignment="0" applyProtection="0"/>
    <xf numFmtId="0" fontId="51" fillId="33" borderId="0" applyNumberFormat="0" applyBorder="0" applyAlignment="0" applyProtection="0"/>
    <xf numFmtId="0" fontId="1" fillId="0" borderId="0"/>
    <xf numFmtId="0" fontId="52" fillId="10" borderId="27" applyNumberFormat="0" applyFont="0" applyAlignment="0" applyProtection="0"/>
    <xf numFmtId="0" fontId="53" fillId="32" borderId="0" applyNumberFormat="0" applyBorder="0" applyAlignment="0" applyProtection="0"/>
    <xf numFmtId="0" fontId="17" fillId="0" borderId="0">
      <alignment vertical="top"/>
    </xf>
    <xf numFmtId="0" fontId="54" fillId="0" borderId="0"/>
    <xf numFmtId="0" fontId="54" fillId="0" borderId="0"/>
    <xf numFmtId="0" fontId="41" fillId="0" borderId="0"/>
    <xf numFmtId="0" fontId="55" fillId="0" borderId="0"/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7" fillId="0" borderId="25" applyNumberFormat="0" applyFill="0" applyAlignment="0" applyProtection="0"/>
    <xf numFmtId="0" fontId="58" fillId="0" borderId="0" applyNumberFormat="0" applyFill="0" applyBorder="0" applyAlignment="0" applyProtection="0"/>
    <xf numFmtId="0" fontId="59" fillId="9" borderId="26" applyNumberFormat="0" applyAlignment="0" applyProtection="0"/>
    <xf numFmtId="0" fontId="66" fillId="3" borderId="1" applyProtection="0">
      <alignment horizontal="center" vertical="center" wrapText="1"/>
      <protection locked="0"/>
    </xf>
    <xf numFmtId="164" fontId="11" fillId="2" borderId="1" applyFill="0">
      <alignment horizontal="center" vertical="justify"/>
      <protection locked="0"/>
    </xf>
    <xf numFmtId="1" fontId="8" fillId="0" borderId="1">
      <alignment horizontal="center" vertical="center"/>
      <protection locked="0"/>
    </xf>
    <xf numFmtId="1" fontId="26" fillId="0" borderId="1">
      <alignment horizontal="center" vertical="center"/>
      <protection locked="0"/>
    </xf>
    <xf numFmtId="49" fontId="26" fillId="0" borderId="1">
      <alignment horizontal="center" vertical="center" wrapText="1"/>
      <protection locked="0"/>
    </xf>
    <xf numFmtId="49" fontId="26" fillId="0" borderId="1">
      <alignment horizontal="center" vertical="center"/>
      <protection locked="0"/>
    </xf>
    <xf numFmtId="49" fontId="8" fillId="0" borderId="1">
      <alignment horizontal="center" vertical="center"/>
      <protection locked="0"/>
    </xf>
    <xf numFmtId="49" fontId="8" fillId="0" borderId="1">
      <alignment horizontal="center" vertical="center"/>
      <protection locked="0"/>
    </xf>
    <xf numFmtId="49" fontId="2" fillId="0" borderId="1" applyFill="0">
      <alignment horizontal="center" vertical="center" wrapText="1"/>
      <protection locked="0"/>
    </xf>
    <xf numFmtId="49" fontId="2" fillId="2" borderId="1">
      <alignment horizontal="center" vertical="center" wrapText="1"/>
      <protection locked="0"/>
    </xf>
    <xf numFmtId="0" fontId="72" fillId="5" borderId="1">
      <alignment horizontal="center" vertical="center" wrapText="1"/>
      <protection hidden="1"/>
    </xf>
    <xf numFmtId="49" fontId="2" fillId="3" borderId="11">
      <alignment horizontal="center" vertical="center" wrapText="1"/>
      <protection hidden="1"/>
    </xf>
    <xf numFmtId="49" fontId="73" fillId="22" borderId="11">
      <alignment horizontal="center" vertical="center" textRotation="90" wrapText="1"/>
      <protection hidden="1"/>
    </xf>
    <xf numFmtId="49" fontId="73" fillId="4" borderId="11">
      <alignment horizontal="center" vertical="center" wrapText="1"/>
    </xf>
    <xf numFmtId="49" fontId="73" fillId="5" borderId="11">
      <alignment horizontal="center" vertical="center" wrapText="1"/>
      <protection hidden="1"/>
    </xf>
    <xf numFmtId="49" fontId="73" fillId="5" borderId="11">
      <alignment horizontal="center" vertical="center" wrapText="1"/>
      <protection hidden="1"/>
    </xf>
    <xf numFmtId="49" fontId="73" fillId="4" borderId="11">
      <alignment horizontal="center" vertical="center" wrapText="1"/>
      <protection hidden="1"/>
    </xf>
    <xf numFmtId="49" fontId="73" fillId="4" borderId="11">
      <alignment horizontal="center" vertical="center" wrapText="1"/>
      <protection hidden="1"/>
    </xf>
    <xf numFmtId="49" fontId="73" fillId="5" borderId="11">
      <alignment horizontal="center" vertical="center" wrapText="1"/>
      <protection hidden="1"/>
    </xf>
    <xf numFmtId="49" fontId="73" fillId="5" borderId="11">
      <alignment horizontal="center" vertical="center" textRotation="90" wrapText="1"/>
      <protection hidden="1"/>
    </xf>
    <xf numFmtId="49" fontId="73" fillId="4" borderId="11">
      <alignment horizontal="center" vertical="center" wrapText="1"/>
      <protection hidden="1"/>
    </xf>
    <xf numFmtId="49" fontId="73" fillId="5" borderId="11">
      <alignment horizontal="center" vertical="center" wrapText="1"/>
      <protection hidden="1"/>
    </xf>
    <xf numFmtId="49" fontId="73" fillId="3" borderId="11">
      <alignment horizontal="center" vertical="center" textRotation="90" wrapText="1"/>
      <protection hidden="1"/>
    </xf>
    <xf numFmtId="0" fontId="23" fillId="0" borderId="1">
      <alignment wrapText="1"/>
      <protection locked="0"/>
    </xf>
    <xf numFmtId="0" fontId="20" fillId="0" borderId="22" applyNumberFormat="0" applyFill="0" applyAlignment="0" applyProtection="0"/>
  </cellStyleXfs>
  <cellXfs count="308">
    <xf numFmtId="0" fontId="0" fillId="0" borderId="0" xfId="0"/>
    <xf numFmtId="0" fontId="2" fillId="0" borderId="0" xfId="0" applyFont="1"/>
    <xf numFmtId="0" fontId="2" fillId="0" borderId="0" xfId="0" applyFont="1" applyProtection="1">
      <protection locked="0"/>
    </xf>
    <xf numFmtId="0" fontId="2" fillId="0" borderId="0" xfId="0" applyFont="1" applyProtection="1">
      <protection hidden="1"/>
    </xf>
    <xf numFmtId="49" fontId="3" fillId="3" borderId="29" xfId="0" applyNumberFormat="1" applyFont="1" applyFill="1" applyBorder="1" applyAlignment="1" applyProtection="1">
      <alignment horizontal="center" vertical="center" wrapText="1"/>
      <protection hidden="1"/>
    </xf>
    <xf numFmtId="49" fontId="3" fillId="4" borderId="29" xfId="0" applyNumberFormat="1" applyFont="1" applyFill="1" applyBorder="1" applyAlignment="1" applyProtection="1">
      <alignment horizontal="center" vertical="center" wrapText="1"/>
      <protection hidden="1"/>
    </xf>
    <xf numFmtId="49" fontId="13" fillId="5" borderId="31" xfId="0" applyNumberFormat="1" applyFont="1" applyFill="1" applyBorder="1" applyAlignment="1" applyProtection="1">
      <alignment horizontal="center" vertical="center" textRotation="90" wrapText="1"/>
      <protection hidden="1"/>
    </xf>
    <xf numFmtId="0" fontId="2" fillId="5" borderId="19" xfId="0" applyFont="1" applyFill="1" applyBorder="1" applyAlignment="1" applyProtection="1">
      <alignment horizontal="center" vertical="center" wrapText="1"/>
      <protection hidden="1"/>
    </xf>
    <xf numFmtId="0" fontId="2" fillId="5" borderId="11" xfId="0" applyFont="1" applyFill="1" applyBorder="1" applyAlignment="1" applyProtection="1">
      <alignment horizontal="center" vertical="center" wrapText="1"/>
      <protection hidden="1"/>
    </xf>
    <xf numFmtId="0" fontId="2" fillId="5" borderId="10" xfId="0" applyFont="1" applyFill="1" applyBorder="1" applyAlignment="1" applyProtection="1">
      <alignment horizontal="center" vertical="center" wrapText="1"/>
      <protection hidden="1"/>
    </xf>
    <xf numFmtId="49" fontId="13" fillId="5" borderId="16" xfId="0" applyNumberFormat="1" applyFont="1" applyFill="1" applyBorder="1" applyAlignment="1" applyProtection="1">
      <alignment horizontal="center" vertical="center" textRotation="90" wrapText="1"/>
      <protection hidden="1"/>
    </xf>
    <xf numFmtId="49" fontId="13" fillId="5" borderId="17" xfId="0" applyNumberFormat="1" applyFont="1" applyFill="1" applyBorder="1" applyAlignment="1" applyProtection="1">
      <alignment horizontal="center" vertical="center" textRotation="90" wrapText="1"/>
      <protection hidden="1"/>
    </xf>
    <xf numFmtId="0" fontId="0" fillId="3" borderId="1" xfId="0" applyFill="1" applyBorder="1" applyAlignment="1">
      <alignment horizontal="center"/>
    </xf>
    <xf numFmtId="0" fontId="22" fillId="4" borderId="1" xfId="0" applyFont="1" applyFill="1" applyBorder="1"/>
    <xf numFmtId="0" fontId="29" fillId="0" borderId="0" xfId="0" applyFont="1" applyProtection="1">
      <protection locked="0"/>
    </xf>
    <xf numFmtId="49" fontId="30" fillId="2" borderId="37" xfId="0" applyNumberFormat="1" applyFont="1" applyFill="1" applyBorder="1" applyAlignment="1">
      <alignment horizontal="left" vertical="center"/>
    </xf>
    <xf numFmtId="0" fontId="22" fillId="25" borderId="1" xfId="0" applyFont="1" applyFill="1" applyBorder="1"/>
    <xf numFmtId="0" fontId="0" fillId="25" borderId="37" xfId="0" applyFill="1" applyBorder="1" applyAlignment="1">
      <alignment horizontal="left"/>
    </xf>
    <xf numFmtId="0" fontId="30" fillId="2" borderId="37" xfId="0" applyFont="1" applyFill="1" applyBorder="1" applyAlignment="1">
      <alignment horizontal="left" vertical="center"/>
    </xf>
    <xf numFmtId="0" fontId="31" fillId="2" borderId="37" xfId="0" applyFont="1" applyFill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22" fillId="21" borderId="1" xfId="0" applyFont="1" applyFill="1" applyBorder="1"/>
    <xf numFmtId="0" fontId="0" fillId="0" borderId="0" xfId="0" applyAlignment="1">
      <alignment horizontal="center"/>
    </xf>
    <xf numFmtId="0" fontId="0" fillId="21" borderId="1" xfId="0" applyFill="1" applyBorder="1"/>
    <xf numFmtId="0" fontId="30" fillId="0" borderId="0" xfId="0" applyFont="1"/>
    <xf numFmtId="0" fontId="32" fillId="0" borderId="0" xfId="0" applyFont="1" applyAlignment="1">
      <alignment vertical="center"/>
    </xf>
    <xf numFmtId="0" fontId="0" fillId="24" borderId="1" xfId="0" applyFill="1" applyBorder="1"/>
    <xf numFmtId="0" fontId="0" fillId="3" borderId="1" xfId="0" applyFill="1" applyBorder="1" applyAlignment="1">
      <alignment horizontal="center" wrapText="1"/>
    </xf>
    <xf numFmtId="0" fontId="22" fillId="21" borderId="1" xfId="0" applyFont="1" applyFill="1" applyBorder="1" applyAlignment="1">
      <alignment wrapText="1"/>
    </xf>
    <xf numFmtId="0" fontId="0" fillId="24" borderId="1" xfId="0" applyFill="1" applyBorder="1" applyAlignment="1">
      <alignment wrapText="1"/>
    </xf>
    <xf numFmtId="0" fontId="0" fillId="26" borderId="1" xfId="0" applyFill="1" applyBorder="1" applyAlignment="1">
      <alignment wrapText="1"/>
    </xf>
    <xf numFmtId="0" fontId="21" fillId="24" borderId="38" xfId="0" applyFont="1" applyFill="1" applyBorder="1" applyAlignment="1">
      <alignment wrapText="1"/>
    </xf>
    <xf numFmtId="0" fontId="33" fillId="4" borderId="1" xfId="0" applyFont="1" applyFill="1" applyBorder="1" applyAlignment="1" applyProtection="1">
      <alignment horizontal="left" wrapText="1"/>
      <protection locked="0"/>
    </xf>
    <xf numFmtId="0" fontId="33" fillId="27" borderId="1" xfId="0" applyFont="1" applyFill="1" applyBorder="1" applyAlignment="1" applyProtection="1">
      <alignment horizontal="left" wrapText="1"/>
      <protection locked="0"/>
    </xf>
    <xf numFmtId="0" fontId="34" fillId="28" borderId="1" xfId="0" applyFont="1" applyFill="1" applyBorder="1" applyAlignment="1" applyProtection="1">
      <alignment horizontal="left" wrapText="1"/>
      <protection locked="0"/>
    </xf>
    <xf numFmtId="0" fontId="34" fillId="22" borderId="1" xfId="0" applyFont="1" applyFill="1" applyBorder="1" applyAlignment="1">
      <alignment wrapText="1"/>
    </xf>
    <xf numFmtId="0" fontId="34" fillId="22" borderId="1" xfId="0" applyFont="1" applyFill="1" applyBorder="1" applyAlignment="1" applyProtection="1">
      <alignment horizontal="left" wrapText="1"/>
      <protection locked="0"/>
    </xf>
    <xf numFmtId="0" fontId="34" fillId="30" borderId="1" xfId="0" applyFont="1" applyFill="1" applyBorder="1" applyAlignment="1" applyProtection="1">
      <alignment horizontal="left" wrapText="1"/>
      <protection locked="0"/>
    </xf>
    <xf numFmtId="0" fontId="34" fillId="31" borderId="1" xfId="0" applyFont="1" applyFill="1" applyBorder="1" applyAlignment="1" applyProtection="1">
      <alignment horizontal="left" wrapText="1"/>
      <protection locked="0"/>
    </xf>
    <xf numFmtId="0" fontId="34" fillId="25" borderId="1" xfId="0" applyFont="1" applyFill="1" applyBorder="1" applyAlignment="1" applyProtection="1">
      <alignment horizontal="left" wrapText="1"/>
      <protection locked="0"/>
    </xf>
    <xf numFmtId="0" fontId="21" fillId="25" borderId="1" xfId="0" applyFont="1" applyFill="1" applyBorder="1" applyAlignment="1" applyProtection="1">
      <alignment horizontal="left" wrapText="1"/>
      <protection locked="0"/>
    </xf>
    <xf numFmtId="0" fontId="0" fillId="0" borderId="1" xfId="0" applyBorder="1"/>
    <xf numFmtId="0" fontId="0" fillId="0" borderId="48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2" fillId="0" borderId="0" xfId="0" applyFont="1" applyAlignment="1" applyProtection="1">
      <alignment textRotation="90"/>
      <protection locked="0"/>
    </xf>
    <xf numFmtId="0" fontId="56" fillId="0" borderId="0" xfId="2"/>
    <xf numFmtId="0" fontId="18" fillId="0" borderId="20" xfId="3"/>
    <xf numFmtId="0" fontId="0" fillId="5" borderId="0" xfId="0" applyFill="1"/>
    <xf numFmtId="0" fontId="10" fillId="0" borderId="0" xfId="0" applyFont="1" applyAlignment="1" applyProtection="1">
      <alignment horizontal="left" vertical="center" wrapText="1"/>
      <protection locked="0"/>
    </xf>
    <xf numFmtId="0" fontId="34" fillId="23" borderId="1" xfId="0" applyFont="1" applyFill="1" applyBorder="1" applyAlignment="1">
      <alignment wrapText="1"/>
    </xf>
    <xf numFmtId="0" fontId="34" fillId="23" borderId="1" xfId="0" applyFont="1" applyFill="1" applyBorder="1"/>
    <xf numFmtId="0" fontId="34" fillId="23" borderId="39" xfId="0" applyFont="1" applyFill="1" applyBorder="1" applyAlignment="1">
      <alignment wrapText="1"/>
    </xf>
    <xf numFmtId="0" fontId="34" fillId="23" borderId="40" xfId="0" applyFont="1" applyFill="1" applyBorder="1" applyAlignment="1">
      <alignment wrapText="1"/>
    </xf>
    <xf numFmtId="0" fontId="34" fillId="23" borderId="41" xfId="0" applyFont="1" applyFill="1" applyBorder="1" applyAlignment="1">
      <alignment wrapText="1"/>
    </xf>
    <xf numFmtId="0" fontId="63" fillId="0" borderId="0" xfId="0" applyFont="1"/>
    <xf numFmtId="0" fontId="64" fillId="0" borderId="0" xfId="0" applyFont="1"/>
    <xf numFmtId="0" fontId="0" fillId="5" borderId="0" xfId="0" applyFill="1" applyProtection="1">
      <protection locked="0"/>
    </xf>
    <xf numFmtId="49" fontId="56" fillId="2" borderId="20" xfId="2" applyNumberFormat="1" applyFill="1" applyBorder="1" applyAlignment="1" applyProtection="1">
      <alignment horizontal="left" vertical="center"/>
    </xf>
    <xf numFmtId="0" fontId="10" fillId="0" borderId="0" xfId="0" applyFont="1" applyProtection="1">
      <protection locked="0"/>
    </xf>
    <xf numFmtId="14" fontId="10" fillId="0" borderId="0" xfId="0" applyNumberFormat="1" applyFont="1" applyProtection="1">
      <protection locked="0"/>
    </xf>
    <xf numFmtId="0" fontId="62" fillId="5" borderId="0" xfId="0" applyFont="1" applyFill="1" applyProtection="1">
      <protection locked="0"/>
    </xf>
    <xf numFmtId="0" fontId="65" fillId="0" borderId="0" xfId="0" applyFont="1"/>
    <xf numFmtId="49" fontId="65" fillId="0" borderId="0" xfId="0" applyNumberFormat="1" applyFont="1"/>
    <xf numFmtId="49" fontId="8" fillId="2" borderId="1" xfId="15">
      <alignment horizontal="center" vertical="center"/>
      <protection locked="0"/>
    </xf>
    <xf numFmtId="14" fontId="0" fillId="0" borderId="0" xfId="0" applyNumberFormat="1"/>
    <xf numFmtId="0" fontId="67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18" fillId="0" borderId="20" xfId="3" applyAlignment="1">
      <alignment horizontal="left" vertical="center" indent="3"/>
    </xf>
    <xf numFmtId="0" fontId="23" fillId="0" borderId="0" xfId="0" applyFont="1" applyAlignment="1">
      <alignment horizontal="left" vertical="center" indent="5"/>
    </xf>
    <xf numFmtId="0" fontId="23" fillId="0" borderId="0" xfId="0" applyFont="1"/>
    <xf numFmtId="0" fontId="23" fillId="0" borderId="0" xfId="0" applyFont="1" applyAlignment="1">
      <alignment horizontal="left" vertical="center" indent="2"/>
    </xf>
    <xf numFmtId="0" fontId="2" fillId="5" borderId="0" xfId="0" applyFont="1" applyFill="1"/>
    <xf numFmtId="0" fontId="22" fillId="5" borderId="0" xfId="0" applyFont="1" applyFill="1"/>
    <xf numFmtId="49" fontId="3" fillId="3" borderId="32" xfId="0" applyNumberFormat="1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49" fontId="30" fillId="0" borderId="1" xfId="0" applyNumberFormat="1" applyFont="1" applyFill="1" applyBorder="1" applyAlignment="1">
      <alignment horizontal="left" vertical="center"/>
    </xf>
    <xf numFmtId="0" fontId="0" fillId="23" borderId="1" xfId="0" applyFont="1" applyFill="1" applyBorder="1"/>
    <xf numFmtId="49" fontId="30" fillId="0" borderId="37" xfId="0" applyNumberFormat="1" applyFont="1" applyFill="1" applyBorder="1" applyAlignment="1">
      <alignment horizontal="left" vertical="center"/>
    </xf>
    <xf numFmtId="0" fontId="30" fillId="0" borderId="1" xfId="0" applyFont="1" applyFill="1" applyBorder="1"/>
    <xf numFmtId="0" fontId="30" fillId="0" borderId="0" xfId="0" applyFont="1" applyFill="1"/>
    <xf numFmtId="167" fontId="30" fillId="0" borderId="1" xfId="0" applyNumberFormat="1" applyFont="1" applyFill="1" applyBorder="1"/>
    <xf numFmtId="0" fontId="0" fillId="23" borderId="37" xfId="0" applyFont="1" applyFill="1" applyBorder="1"/>
    <xf numFmtId="0" fontId="30" fillId="2" borderId="1" xfId="0" applyFont="1" applyFill="1" applyBorder="1" applyAlignment="1">
      <alignment horizontal="left" vertical="center"/>
    </xf>
    <xf numFmtId="0" fontId="0" fillId="25" borderId="37" xfId="0" applyFont="1" applyFill="1" applyBorder="1" applyAlignment="1">
      <alignment horizontal="left" vertical="center"/>
    </xf>
    <xf numFmtId="0" fontId="0" fillId="0" borderId="0" xfId="0" applyFont="1" applyFill="1"/>
    <xf numFmtId="0" fontId="0" fillId="0" borderId="0" xfId="0" applyFont="1" applyFill="1" applyAlignment="1">
      <alignment wrapText="1"/>
    </xf>
    <xf numFmtId="49" fontId="30" fillId="2" borderId="0" xfId="0" applyNumberFormat="1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/>
    </xf>
    <xf numFmtId="14" fontId="30" fillId="0" borderId="37" xfId="0" applyNumberFormat="1" applyFont="1" applyFill="1" applyBorder="1" applyAlignment="1">
      <alignment horizontal="left" vertical="center"/>
    </xf>
    <xf numFmtId="0" fontId="30" fillId="0" borderId="37" xfId="0" applyNumberFormat="1" applyFont="1" applyFill="1" applyBorder="1" applyAlignment="1">
      <alignment horizontal="left" vertical="center"/>
    </xf>
    <xf numFmtId="0" fontId="34" fillId="22" borderId="1" xfId="0" applyNumberFormat="1" applyFont="1" applyFill="1" applyBorder="1" applyAlignment="1" applyProtection="1">
      <alignment horizontal="left" wrapText="1"/>
      <protection locked="0"/>
    </xf>
    <xf numFmtId="0" fontId="35" fillId="22" borderId="1" xfId="0" applyNumberFormat="1" applyFont="1" applyFill="1" applyBorder="1" applyAlignment="1" applyProtection="1">
      <alignment horizontal="left" wrapText="1"/>
      <protection locked="0"/>
    </xf>
    <xf numFmtId="0" fontId="34" fillId="29" borderId="1" xfId="0" applyNumberFormat="1" applyFont="1" applyFill="1" applyBorder="1" applyAlignment="1" applyProtection="1">
      <alignment horizontal="left" wrapText="1"/>
      <protection locked="0"/>
    </xf>
    <xf numFmtId="0" fontId="34" fillId="24" borderId="1" xfId="0" applyNumberFormat="1" applyFont="1" applyFill="1" applyBorder="1" applyAlignment="1" applyProtection="1">
      <alignment horizontal="left" wrapText="1"/>
      <protection locked="0"/>
    </xf>
    <xf numFmtId="0" fontId="30" fillId="0" borderId="1" xfId="0" applyFont="1" applyBorder="1"/>
    <xf numFmtId="0" fontId="34" fillId="23" borderId="1" xfId="0" applyFont="1" applyFill="1" applyBorder="1" applyAlignment="1">
      <alignment horizontal="left" vertical="center"/>
    </xf>
    <xf numFmtId="0" fontId="80" fillId="0" borderId="0" xfId="0" applyFont="1"/>
    <xf numFmtId="0" fontId="81" fillId="0" borderId="0" xfId="0" applyFont="1"/>
    <xf numFmtId="0" fontId="19" fillId="0" borderId="21" xfId="4"/>
    <xf numFmtId="0" fontId="82" fillId="0" borderId="0" xfId="0" applyFont="1"/>
    <xf numFmtId="0" fontId="22" fillId="0" borderId="0" xfId="0" applyFont="1"/>
    <xf numFmtId="0" fontId="23" fillId="0" borderId="0" xfId="0" applyFont="1" applyAlignment="1">
      <alignment horizontal="left" vertical="top" wrapText="1"/>
    </xf>
    <xf numFmtId="49" fontId="3" fillId="30" borderId="29" xfId="0" applyNumberFormat="1" applyFont="1" applyFill="1" applyBorder="1" applyAlignment="1" applyProtection="1">
      <alignment horizontal="center" vertical="center" wrapText="1"/>
      <protection hidden="1"/>
    </xf>
    <xf numFmtId="49" fontId="3" fillId="30" borderId="29" xfId="0" applyNumberFormat="1" applyFont="1" applyFill="1" applyBorder="1" applyAlignment="1" applyProtection="1">
      <alignment horizontal="center" vertical="center" textRotation="90" wrapText="1"/>
      <protection hidden="1"/>
    </xf>
    <xf numFmtId="49" fontId="4" fillId="30" borderId="29" xfId="0" applyNumberFormat="1" applyFont="1" applyFill="1" applyBorder="1" applyAlignment="1" applyProtection="1">
      <alignment horizontal="center" vertical="center" textRotation="90" wrapText="1"/>
      <protection hidden="1"/>
    </xf>
    <xf numFmtId="49" fontId="86" fillId="30" borderId="29" xfId="0" applyNumberFormat="1" applyFont="1" applyFill="1" applyBorder="1" applyAlignment="1" applyProtection="1">
      <alignment horizontal="center" vertical="center" textRotation="90" wrapText="1"/>
      <protection hidden="1"/>
    </xf>
    <xf numFmtId="49" fontId="86" fillId="30" borderId="30" xfId="0" applyNumberFormat="1" applyFont="1" applyFill="1" applyBorder="1" applyAlignment="1" applyProtection="1">
      <alignment horizontal="center" vertical="center" textRotation="90" wrapText="1"/>
      <protection hidden="1"/>
    </xf>
    <xf numFmtId="0" fontId="2" fillId="30" borderId="0" xfId="0" applyFont="1" applyFill="1" applyAlignment="1" applyProtection="1">
      <alignment textRotation="90"/>
      <protection hidden="1"/>
    </xf>
    <xf numFmtId="0" fontId="0" fillId="23" borderId="29" xfId="0" applyFont="1" applyFill="1" applyBorder="1"/>
    <xf numFmtId="0" fontId="0" fillId="49" borderId="0" xfId="0" applyFill="1"/>
    <xf numFmtId="0" fontId="5" fillId="49" borderId="0" xfId="0" applyFont="1" applyFill="1"/>
    <xf numFmtId="0" fontId="5" fillId="50" borderId="46" xfId="0" applyFont="1" applyFill="1" applyBorder="1"/>
    <xf numFmtId="0" fontId="5" fillId="50" borderId="3" xfId="0" applyFont="1" applyFill="1" applyBorder="1"/>
    <xf numFmtId="0" fontId="5" fillId="50" borderId="9" xfId="0" applyFont="1" applyFill="1" applyBorder="1" applyAlignment="1">
      <alignment horizontal="left"/>
    </xf>
    <xf numFmtId="0" fontId="5" fillId="50" borderId="19" xfId="0" applyFont="1" applyFill="1" applyBorder="1" applyAlignment="1">
      <alignment horizontal="left"/>
    </xf>
    <xf numFmtId="0" fontId="5" fillId="50" borderId="10" xfId="0" applyFont="1" applyFill="1" applyBorder="1" applyAlignment="1">
      <alignment horizontal="left"/>
    </xf>
    <xf numFmtId="0" fontId="5" fillId="50" borderId="12" xfId="0" applyFont="1" applyFill="1" applyBorder="1" applyAlignment="1">
      <alignment horizontal="left"/>
    </xf>
    <xf numFmtId="0" fontId="5" fillId="50" borderId="13" xfId="0" applyFont="1" applyFill="1" applyBorder="1"/>
    <xf numFmtId="0" fontId="79" fillId="50" borderId="13" xfId="0" applyFont="1" applyFill="1" applyBorder="1"/>
    <xf numFmtId="0" fontId="5" fillId="50" borderId="15" xfId="0" applyFont="1" applyFill="1" applyBorder="1"/>
    <xf numFmtId="49" fontId="5" fillId="52" borderId="17" xfId="0" applyNumberFormat="1" applyFont="1" applyFill="1" applyBorder="1" applyAlignment="1" applyProtection="1">
      <alignment horizontal="left" vertical="center"/>
      <protection locked="0"/>
    </xf>
    <xf numFmtId="0" fontId="5" fillId="52" borderId="17" xfId="0" applyFont="1" applyFill="1" applyBorder="1" applyAlignment="1" applyProtection="1">
      <alignment horizontal="left" vertical="center"/>
      <protection locked="0"/>
    </xf>
    <xf numFmtId="0" fontId="5" fillId="50" borderId="42" xfId="0" applyFont="1" applyFill="1" applyBorder="1" applyAlignment="1">
      <alignment horizontal="left"/>
    </xf>
    <xf numFmtId="0" fontId="5" fillId="50" borderId="10" xfId="0" applyFont="1" applyFill="1" applyBorder="1"/>
    <xf numFmtId="0" fontId="5" fillId="50" borderId="44" xfId="0" applyFont="1" applyFill="1" applyBorder="1"/>
    <xf numFmtId="0" fontId="5" fillId="50" borderId="15" xfId="0" applyFont="1" applyFill="1" applyBorder="1" applyAlignment="1">
      <alignment horizontal="left" vertical="center"/>
    </xf>
    <xf numFmtId="0" fontId="5" fillId="50" borderId="13" xfId="0" applyFont="1" applyFill="1" applyBorder="1" applyAlignment="1">
      <alignment horizontal="left" vertical="center"/>
    </xf>
    <xf numFmtId="1" fontId="5" fillId="52" borderId="14" xfId="0" applyNumberFormat="1" applyFont="1" applyFill="1" applyBorder="1" applyAlignment="1" applyProtection="1">
      <alignment horizontal="left" vertical="center"/>
      <protection locked="0"/>
    </xf>
    <xf numFmtId="0" fontId="5" fillId="52" borderId="14" xfId="0" applyFont="1" applyFill="1" applyBorder="1" applyAlignment="1" applyProtection="1">
      <alignment horizontal="left" vertical="center"/>
      <protection locked="0"/>
    </xf>
    <xf numFmtId="0" fontId="5" fillId="50" borderId="34" xfId="0" applyFont="1" applyFill="1" applyBorder="1"/>
    <xf numFmtId="0" fontId="27" fillId="50" borderId="3" xfId="0" applyFont="1" applyFill="1" applyBorder="1"/>
    <xf numFmtId="0" fontId="27" fillId="50" borderId="4" xfId="0" applyFont="1" applyFill="1" applyBorder="1" applyProtection="1">
      <protection locked="0"/>
    </xf>
    <xf numFmtId="0" fontId="5" fillId="52" borderId="5" xfId="0" applyFont="1" applyFill="1" applyBorder="1"/>
    <xf numFmtId="0" fontId="12" fillId="52" borderId="14" xfId="19" applyFill="1" applyBorder="1" applyAlignment="1" applyProtection="1">
      <alignment horizontal="left" vertical="center"/>
      <protection locked="0"/>
    </xf>
    <xf numFmtId="49" fontId="5" fillId="52" borderId="14" xfId="0" applyNumberFormat="1" applyFont="1" applyFill="1" applyBorder="1" applyAlignment="1" applyProtection="1">
      <alignment horizontal="left" vertical="center"/>
      <protection locked="0"/>
    </xf>
    <xf numFmtId="0" fontId="12" fillId="52" borderId="45" xfId="19" applyFill="1" applyBorder="1" applyAlignment="1" applyProtection="1">
      <alignment horizontal="left" wrapText="1"/>
      <protection locked="0"/>
    </xf>
    <xf numFmtId="1" fontId="5" fillId="52" borderId="14" xfId="0" applyNumberFormat="1" applyFont="1" applyFill="1" applyBorder="1" applyAlignment="1" applyProtection="1">
      <alignment horizontal="left"/>
      <protection locked="0"/>
    </xf>
    <xf numFmtId="166" fontId="5" fillId="52" borderId="14" xfId="0" applyNumberFormat="1" applyFont="1" applyFill="1" applyBorder="1" applyAlignment="1" applyProtection="1">
      <alignment horizontal="left"/>
      <protection locked="0"/>
    </xf>
    <xf numFmtId="0" fontId="5" fillId="52" borderId="33" xfId="0" applyFont="1" applyFill="1" applyBorder="1" applyAlignment="1" applyProtection="1">
      <alignment horizontal="left"/>
      <protection locked="0"/>
    </xf>
    <xf numFmtId="2" fontId="5" fillId="52" borderId="14" xfId="0" applyNumberFormat="1" applyFont="1" applyFill="1" applyBorder="1" applyAlignment="1" applyProtection="1">
      <alignment horizontal="left"/>
      <protection locked="0"/>
    </xf>
    <xf numFmtId="0" fontId="40" fillId="52" borderId="47" xfId="0" applyFont="1" applyFill="1" applyBorder="1" applyAlignment="1" applyProtection="1">
      <alignment horizontal="left" wrapText="1"/>
      <protection locked="0"/>
    </xf>
    <xf numFmtId="0" fontId="6" fillId="52" borderId="14" xfId="0" applyFont="1" applyFill="1" applyBorder="1" applyAlignment="1" applyProtection="1">
      <alignment horizontal="left" vertical="center"/>
      <protection locked="0"/>
    </xf>
    <xf numFmtId="0" fontId="5" fillId="52" borderId="12" xfId="0" applyFont="1" applyFill="1" applyBorder="1" applyAlignment="1" applyProtection="1">
      <alignment horizontal="left" vertical="center"/>
      <protection locked="0"/>
    </xf>
    <xf numFmtId="0" fontId="28" fillId="52" borderId="36" xfId="19" applyFont="1" applyFill="1" applyBorder="1" applyAlignment="1">
      <alignment horizontal="left" vertical="center"/>
    </xf>
    <xf numFmtId="0" fontId="12" fillId="52" borderId="35" xfId="19" applyFill="1" applyBorder="1" applyAlignment="1" applyProtection="1">
      <alignment horizontal="right" vertical="center"/>
    </xf>
    <xf numFmtId="0" fontId="2" fillId="23" borderId="7" xfId="0" applyFont="1" applyFill="1" applyBorder="1" applyAlignment="1" applyProtection="1">
      <protection hidden="1"/>
    </xf>
    <xf numFmtId="0" fontId="2" fillId="23" borderId="0" xfId="0" applyFont="1" applyFill="1" applyAlignment="1" applyProtection="1">
      <alignment textRotation="90"/>
      <protection hidden="1"/>
    </xf>
    <xf numFmtId="0" fontId="2" fillId="23" borderId="0" xfId="0" applyFont="1" applyFill="1" applyProtection="1">
      <protection hidden="1"/>
    </xf>
    <xf numFmtId="0" fontId="27" fillId="30" borderId="7" xfId="0" applyFont="1" applyFill="1" applyBorder="1" applyProtection="1">
      <protection hidden="1"/>
    </xf>
    <xf numFmtId="0" fontId="27" fillId="23" borderId="7" xfId="0" applyFont="1" applyFill="1" applyBorder="1" applyProtection="1">
      <protection hidden="1"/>
    </xf>
    <xf numFmtId="0" fontId="27" fillId="23" borderId="7" xfId="0" applyFont="1" applyFill="1" applyBorder="1" applyAlignment="1" applyProtection="1">
      <protection hidden="1"/>
    </xf>
    <xf numFmtId="0" fontId="27" fillId="23" borderId="7" xfId="0" applyFont="1" applyFill="1" applyBorder="1" applyAlignment="1" applyProtection="1">
      <alignment horizontal="left" vertical="top"/>
      <protection hidden="1"/>
    </xf>
    <xf numFmtId="0" fontId="2" fillId="53" borderId="0" xfId="0" applyFont="1" applyFill="1" applyProtection="1">
      <protection hidden="1"/>
    </xf>
    <xf numFmtId="0" fontId="5" fillId="54" borderId="14" xfId="0" applyFont="1" applyFill="1" applyBorder="1" applyAlignment="1" applyProtection="1">
      <alignment horizontal="left" vertical="center"/>
      <protection locked="0"/>
    </xf>
    <xf numFmtId="165" fontId="5" fillId="54" borderId="14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49" fontId="8" fillId="2" borderId="52" xfId="15" applyBorder="1">
      <alignment horizontal="center" vertical="center"/>
      <protection locked="0"/>
    </xf>
    <xf numFmtId="0" fontId="90" fillId="0" borderId="0" xfId="0" applyFont="1"/>
    <xf numFmtId="0" fontId="91" fillId="0" borderId="0" xfId="0" applyFont="1"/>
    <xf numFmtId="0" fontId="5" fillId="50" borderId="49" xfId="0" applyFont="1" applyFill="1" applyBorder="1"/>
    <xf numFmtId="0" fontId="93" fillId="0" borderId="22" xfId="93" applyFont="1"/>
    <xf numFmtId="0" fontId="94" fillId="52" borderId="50" xfId="0" applyFont="1" applyFill="1" applyBorder="1" applyAlignment="1" applyProtection="1">
      <alignment horizontal="left" vertical="center"/>
      <protection locked="0"/>
    </xf>
    <xf numFmtId="49" fontId="5" fillId="51" borderId="53" xfId="0" applyNumberFormat="1" applyFont="1" applyFill="1" applyBorder="1" applyAlignment="1" applyProtection="1">
      <alignment horizontal="left" vertical="center"/>
      <protection locked="0"/>
    </xf>
    <xf numFmtId="0" fontId="80" fillId="0" borderId="1" xfId="0" applyFont="1" applyBorder="1"/>
    <xf numFmtId="0" fontId="65" fillId="0" borderId="1" xfId="0" applyFont="1" applyBorder="1"/>
    <xf numFmtId="1" fontId="5" fillId="52" borderId="17" xfId="0" applyNumberFormat="1" applyFont="1" applyFill="1" applyBorder="1" applyAlignment="1" applyProtection="1">
      <alignment horizontal="left"/>
      <protection locked="0"/>
    </xf>
    <xf numFmtId="0" fontId="5" fillId="50" borderId="43" xfId="0" applyFont="1" applyFill="1" applyBorder="1" applyAlignment="1">
      <alignment horizontal="left"/>
    </xf>
    <xf numFmtId="0" fontId="26" fillId="55" borderId="51" xfId="0" applyFont="1" applyFill="1" applyBorder="1" applyAlignment="1">
      <alignment horizontal="center"/>
    </xf>
    <xf numFmtId="49" fontId="5" fillId="55" borderId="4" xfId="0" applyNumberFormat="1" applyFont="1" applyFill="1" applyBorder="1" applyAlignment="1" applyProtection="1">
      <alignment horizontal="left" vertical="center"/>
      <protection locked="0"/>
    </xf>
    <xf numFmtId="0" fontId="5" fillId="55" borderId="14" xfId="0" applyFont="1" applyFill="1" applyBorder="1" applyAlignment="1" applyProtection="1">
      <alignment horizontal="left" vertical="center"/>
      <protection locked="0"/>
    </xf>
    <xf numFmtId="165" fontId="5" fillId="55" borderId="14" xfId="0" applyNumberFormat="1" applyFont="1" applyFill="1" applyBorder="1" applyAlignment="1" applyProtection="1">
      <alignment horizontal="left" vertical="center"/>
      <protection locked="0"/>
    </xf>
    <xf numFmtId="14" fontId="5" fillId="55" borderId="14" xfId="0" applyNumberFormat="1" applyFont="1" applyFill="1" applyBorder="1" applyAlignment="1" applyProtection="1">
      <alignment horizontal="left"/>
      <protection locked="0"/>
    </xf>
    <xf numFmtId="0" fontId="5" fillId="55" borderId="4" xfId="0" applyFont="1" applyFill="1" applyBorder="1"/>
    <xf numFmtId="0" fontId="19" fillId="0" borderId="0" xfId="4" applyBorder="1"/>
    <xf numFmtId="0" fontId="22" fillId="0" borderId="1" xfId="0" applyFont="1" applyBorder="1"/>
    <xf numFmtId="0" fontId="23" fillId="0" borderId="0" xfId="0" applyFont="1" applyAlignment="1">
      <alignment wrapText="1"/>
    </xf>
    <xf numFmtId="49" fontId="3" fillId="3" borderId="11" xfId="0" applyNumberFormat="1" applyFont="1" applyFill="1" applyBorder="1" applyAlignment="1" applyProtection="1">
      <alignment horizontal="center" vertical="center" wrapText="1"/>
      <protection hidden="1"/>
    </xf>
    <xf numFmtId="0" fontId="22" fillId="24" borderId="1" xfId="0" applyFont="1" applyFill="1" applyBorder="1" applyAlignment="1">
      <alignment horizontal="left" vertical="center" textRotation="90" wrapText="1"/>
    </xf>
    <xf numFmtId="0" fontId="92" fillId="24" borderId="1" xfId="0" applyFont="1" applyFill="1" applyBorder="1" applyAlignment="1">
      <alignment horizontal="left" vertical="center" textRotation="90" wrapText="1"/>
    </xf>
    <xf numFmtId="0" fontId="87" fillId="23" borderId="38" xfId="0" applyFont="1" applyFill="1" applyBorder="1" applyAlignment="1" applyProtection="1">
      <alignment horizontal="center"/>
      <protection hidden="1"/>
    </xf>
    <xf numFmtId="0" fontId="0" fillId="56" borderId="0" xfId="0" applyFill="1"/>
    <xf numFmtId="0" fontId="5" fillId="56" borderId="0" xfId="0" applyFont="1" applyFill="1"/>
    <xf numFmtId="0" fontId="5" fillId="56" borderId="0" xfId="0" applyFont="1" applyFill="1" applyAlignment="1" applyProtection="1">
      <alignment horizontal="left"/>
      <protection locked="0"/>
    </xf>
    <xf numFmtId="0" fontId="5" fillId="56" borderId="5" xfId="0" applyFont="1" applyFill="1" applyBorder="1"/>
    <xf numFmtId="0" fontId="5" fillId="56" borderId="0" xfId="0" applyFont="1" applyFill="1" applyBorder="1"/>
    <xf numFmtId="0" fontId="15" fillId="56" borderId="0" xfId="0" applyFont="1" applyFill="1"/>
    <xf numFmtId="0" fontId="0" fillId="56" borderId="0" xfId="0" applyFill="1" applyBorder="1"/>
    <xf numFmtId="0" fontId="5" fillId="56" borderId="0" xfId="0" applyFont="1" applyFill="1" applyBorder="1" applyAlignment="1">
      <alignment horizontal="center"/>
    </xf>
    <xf numFmtId="49" fontId="5" fillId="56" borderId="0" xfId="0" applyNumberFormat="1" applyFont="1" applyFill="1" applyAlignment="1" applyProtection="1">
      <alignment vertical="center"/>
      <protection locked="0"/>
    </xf>
    <xf numFmtId="0" fontId="5" fillId="56" borderId="0" xfId="0" applyFont="1" applyFill="1" applyAlignment="1" applyProtection="1">
      <alignment horizontal="left" vertical="center"/>
      <protection locked="0"/>
    </xf>
    <xf numFmtId="0" fontId="5" fillId="56" borderId="0" xfId="0" applyFont="1" applyFill="1" applyAlignment="1">
      <alignment horizontal="left" vertical="center"/>
    </xf>
    <xf numFmtId="0" fontId="74" fillId="56" borderId="0" xfId="19" applyFont="1" applyFill="1" applyBorder="1" applyAlignment="1" applyProtection="1">
      <alignment horizontal="left"/>
    </xf>
    <xf numFmtId="0" fontId="16" fillId="23" borderId="0" xfId="0" applyFont="1" applyFill="1" applyProtection="1">
      <protection hidden="1"/>
    </xf>
    <xf numFmtId="0" fontId="2" fillId="23" borderId="0" xfId="0" applyFont="1" applyFill="1" applyProtection="1">
      <protection locked="0"/>
    </xf>
    <xf numFmtId="0" fontId="26" fillId="23" borderId="0" xfId="0" applyFont="1" applyFill="1" applyAlignment="1" applyProtection="1">
      <alignment horizontal="center" vertical="center"/>
      <protection hidden="1"/>
    </xf>
    <xf numFmtId="0" fontId="10" fillId="23" borderId="0" xfId="0" applyFont="1" applyFill="1" applyAlignment="1" applyProtection="1">
      <alignment horizontal="left" vertical="center" wrapText="1"/>
      <protection hidden="1"/>
    </xf>
    <xf numFmtId="0" fontId="88" fillId="23" borderId="38" xfId="0" applyFont="1" applyFill="1" applyBorder="1" applyAlignment="1" applyProtection="1">
      <alignment horizontal="center"/>
      <protection hidden="1"/>
    </xf>
    <xf numFmtId="0" fontId="2" fillId="23" borderId="0" xfId="0" applyFont="1" applyFill="1" applyAlignment="1" applyProtection="1">
      <alignment horizontal="left"/>
      <protection hidden="1"/>
    </xf>
    <xf numFmtId="0" fontId="2" fillId="23" borderId="0" xfId="0" applyFont="1" applyFill="1" applyAlignment="1" applyProtection="1">
      <alignment horizontal="left"/>
      <protection locked="0"/>
    </xf>
    <xf numFmtId="0" fontId="10" fillId="23" borderId="0" xfId="0" applyFont="1" applyFill="1" applyAlignment="1" applyProtection="1">
      <alignment horizontal="left" vertical="center" wrapText="1"/>
      <protection locked="0"/>
    </xf>
    <xf numFmtId="0" fontId="8" fillId="23" borderId="0" xfId="0" applyFont="1" applyFill="1" applyAlignment="1" applyProtection="1">
      <alignment horizontal="left" vertical="center" wrapText="1"/>
      <protection locked="0"/>
    </xf>
    <xf numFmtId="0" fontId="2" fillId="23" borderId="0" xfId="0" applyFont="1" applyFill="1" applyAlignment="1" applyProtection="1">
      <alignment textRotation="90"/>
      <protection locked="0"/>
    </xf>
    <xf numFmtId="0" fontId="2" fillId="23" borderId="0" xfId="0" applyFont="1" applyFill="1"/>
    <xf numFmtId="0" fontId="96" fillId="0" borderId="0" xfId="2" applyFont="1"/>
    <xf numFmtId="0" fontId="97" fillId="0" borderId="0" xfId="0" applyFont="1"/>
    <xf numFmtId="0" fontId="98" fillId="0" borderId="37" xfId="0" applyFont="1" applyFill="1" applyBorder="1" applyAlignment="1">
      <alignment horizontal="left" vertical="center"/>
    </xf>
    <xf numFmtId="49" fontId="99" fillId="0" borderId="1" xfId="0" applyNumberFormat="1" applyFont="1" applyFill="1" applyBorder="1"/>
    <xf numFmtId="0" fontId="0" fillId="23" borderId="1" xfId="0" applyFill="1" applyBorder="1" applyAlignment="1">
      <alignment wrapText="1"/>
    </xf>
    <xf numFmtId="0" fontId="23" fillId="23" borderId="1" xfId="92" applyFill="1" applyBorder="1">
      <alignment wrapText="1"/>
      <protection locked="0"/>
    </xf>
    <xf numFmtId="0" fontId="100" fillId="23" borderId="38" xfId="0" applyFont="1" applyFill="1" applyBorder="1" applyAlignment="1" applyProtection="1">
      <alignment horizontal="center"/>
      <protection hidden="1"/>
    </xf>
    <xf numFmtId="0" fontId="26" fillId="23" borderId="0" xfId="0" applyFont="1" applyFill="1" applyAlignment="1" applyProtection="1">
      <alignment horizontal="left" vertical="center"/>
      <protection hidden="1"/>
    </xf>
    <xf numFmtId="0" fontId="26" fillId="23" borderId="0" xfId="0" applyFont="1" applyFill="1" applyProtection="1">
      <protection hidden="1"/>
    </xf>
    <xf numFmtId="0" fontId="26" fillId="0" borderId="0" xfId="0" applyFont="1" applyProtection="1">
      <protection locked="0"/>
    </xf>
    <xf numFmtId="0" fontId="26" fillId="23" borderId="0" xfId="0" applyFont="1" applyFill="1" applyAlignment="1" applyProtection="1">
      <alignment horizontal="left" vertical="center" wrapText="1"/>
      <protection locked="0"/>
    </xf>
    <xf numFmtId="49" fontId="2" fillId="0" borderId="1" xfId="77" applyFill="1" applyBorder="1">
      <alignment horizontal="center" vertical="center" wrapText="1"/>
      <protection locked="0"/>
    </xf>
    <xf numFmtId="49" fontId="26" fillId="2" borderId="1" xfId="15" applyFont="1" applyBorder="1">
      <alignment horizontal="center" vertical="center"/>
      <protection locked="0"/>
    </xf>
    <xf numFmtId="49" fontId="101" fillId="2" borderId="1" xfId="15" applyFont="1" applyBorder="1">
      <alignment horizontal="center" vertical="center"/>
      <protection locked="0"/>
    </xf>
    <xf numFmtId="49" fontId="14" fillId="3" borderId="52" xfId="0" applyNumberFormat="1" applyFont="1" applyFill="1" applyBorder="1" applyAlignment="1" applyProtection="1">
      <alignment horizontal="center" vertical="center" wrapText="1"/>
      <protection hidden="1"/>
    </xf>
    <xf numFmtId="164" fontId="26" fillId="2" borderId="1" xfId="16" applyNumberFormat="1" applyFont="1" applyFill="1" applyBorder="1">
      <alignment horizontal="center" vertical="top"/>
      <protection locked="0"/>
    </xf>
    <xf numFmtId="164" fontId="101" fillId="2" borderId="1" xfId="16" applyFont="1" applyFill="1" applyBorder="1">
      <alignment horizontal="center" vertical="top"/>
      <protection locked="0"/>
    </xf>
    <xf numFmtId="0" fontId="102" fillId="0" borderId="1" xfId="0" applyFont="1" applyBorder="1" applyAlignment="1" applyProtection="1">
      <alignment horizontal="left" vertical="center" wrapText="1"/>
      <protection locked="0"/>
    </xf>
    <xf numFmtId="49" fontId="60" fillId="4" borderId="52" xfId="0" applyNumberFormat="1" applyFont="1" applyFill="1" applyBorder="1" applyAlignment="1" applyProtection="1">
      <alignment horizontal="left" vertical="center" wrapText="1"/>
      <protection hidden="1"/>
    </xf>
    <xf numFmtId="49" fontId="26" fillId="0" borderId="1" xfId="74" applyBorder="1">
      <alignment horizontal="center" vertical="center"/>
      <protection locked="0"/>
    </xf>
    <xf numFmtId="0" fontId="10" fillId="0" borderId="1" xfId="0" applyFont="1" applyBorder="1" applyAlignment="1">
      <alignment horizontal="left" vertical="center" wrapText="1"/>
    </xf>
    <xf numFmtId="49" fontId="13" fillId="5" borderId="54" xfId="0" applyNumberFormat="1" applyFont="1" applyFill="1" applyBorder="1" applyAlignment="1" applyProtection="1">
      <alignment horizontal="center" vertical="center" textRotation="90" wrapText="1"/>
      <protection hidden="1"/>
    </xf>
    <xf numFmtId="49" fontId="13" fillId="5" borderId="56" xfId="0" applyNumberFormat="1" applyFont="1" applyFill="1" applyBorder="1" applyAlignment="1" applyProtection="1">
      <alignment horizontal="center" vertical="center" textRotation="90" wrapText="1"/>
      <protection hidden="1"/>
    </xf>
    <xf numFmtId="49" fontId="14" fillId="3" borderId="55" xfId="0" applyNumberFormat="1" applyFont="1" applyFill="1" applyBorder="1" applyAlignment="1" applyProtection="1">
      <alignment horizontal="center" vertical="center" wrapText="1"/>
      <protection locked="0"/>
    </xf>
    <xf numFmtId="49" fontId="89" fillId="30" borderId="52" xfId="0" applyNumberFormat="1" applyFont="1" applyFill="1" applyBorder="1" applyAlignment="1" applyProtection="1">
      <alignment horizontal="left" vertical="center" wrapText="1"/>
      <protection hidden="1"/>
    </xf>
    <xf numFmtId="49" fontId="61" fillId="30" borderId="52" xfId="0" applyNumberFormat="1" applyFont="1" applyFill="1" applyBorder="1" applyAlignment="1" applyProtection="1">
      <alignment horizontal="left" vertical="center" wrapText="1"/>
      <protection hidden="1"/>
    </xf>
    <xf numFmtId="49" fontId="9" fillId="3" borderId="52" xfId="0" applyNumberFormat="1" applyFont="1" applyFill="1" applyBorder="1" applyAlignment="1" applyProtection="1">
      <alignment horizontal="center" vertical="center" textRotation="90" wrapText="1"/>
      <protection hidden="1"/>
    </xf>
    <xf numFmtId="49" fontId="13" fillId="5" borderId="52" xfId="0" applyNumberFormat="1" applyFont="1" applyFill="1" applyBorder="1" applyAlignment="1" applyProtection="1">
      <alignment horizontal="center" vertical="center" textRotation="90" wrapText="1"/>
      <protection hidden="1"/>
    </xf>
    <xf numFmtId="0" fontId="26" fillId="0" borderId="1" xfId="0" applyFont="1" applyBorder="1" applyAlignment="1" applyProtection="1">
      <alignment horizontal="left" vertical="center" wrapText="1"/>
      <protection locked="0"/>
    </xf>
    <xf numFmtId="49" fontId="8" fillId="0" borderId="1" xfId="76" applyBorder="1">
      <alignment horizontal="center" vertical="center"/>
      <protection locked="0"/>
    </xf>
    <xf numFmtId="49" fontId="2" fillId="2" borderId="1" xfId="77" applyFill="1" applyBorder="1">
      <alignment horizontal="center" vertical="center" wrapText="1"/>
      <protection locked="0"/>
    </xf>
    <xf numFmtId="1" fontId="102" fillId="0" borderId="1" xfId="0" applyNumberFormat="1" applyFont="1" applyBorder="1" applyAlignment="1" applyProtection="1">
      <alignment horizontal="left" vertical="center" wrapText="1"/>
      <protection locked="0"/>
    </xf>
    <xf numFmtId="0" fontId="102" fillId="0" borderId="1" xfId="0" applyFont="1" applyFill="1" applyBorder="1" applyAlignment="1" applyProtection="1">
      <alignment horizontal="left" vertical="center" wrapText="1"/>
      <protection locked="0"/>
    </xf>
    <xf numFmtId="0" fontId="101" fillId="0" borderId="1" xfId="0" applyNumberFormat="1" applyFont="1" applyBorder="1" applyAlignment="1" applyProtection="1">
      <alignment horizontal="left" vertical="center" wrapText="1"/>
      <protection locked="0"/>
    </xf>
    <xf numFmtId="0" fontId="2" fillId="0" borderId="1" xfId="77" applyNumberFormat="1" applyFill="1" applyBorder="1">
      <alignment horizontal="center" vertical="center" wrapText="1"/>
      <protection locked="0"/>
    </xf>
    <xf numFmtId="0" fontId="2" fillId="2" borderId="1" xfId="77" applyNumberFormat="1" applyFill="1" applyBorder="1">
      <alignment horizontal="center" vertical="center" wrapText="1"/>
      <protection locked="0"/>
    </xf>
    <xf numFmtId="0" fontId="103" fillId="0" borderId="0" xfId="0" applyFont="1" applyAlignment="1">
      <alignment vertical="center"/>
    </xf>
    <xf numFmtId="164" fontId="26" fillId="2" borderId="1" xfId="16" applyFont="1" applyFill="1" applyBorder="1">
      <alignment horizontal="center" vertical="top"/>
      <protection locked="0"/>
    </xf>
    <xf numFmtId="49" fontId="10" fillId="0" borderId="1" xfId="0" applyNumberFormat="1" applyFont="1" applyBorder="1" applyAlignment="1" applyProtection="1">
      <alignment horizontal="left" vertical="center" wrapText="1"/>
      <protection locked="0"/>
    </xf>
    <xf numFmtId="1" fontId="104" fillId="0" borderId="1" xfId="72" applyFont="1" applyBorder="1" applyAlignment="1">
      <alignment horizontal="center" vertical="center" wrapText="1"/>
      <protection locked="0"/>
    </xf>
    <xf numFmtId="49" fontId="94" fillId="2" borderId="1" xfId="16" applyNumberFormat="1" applyFont="1" applyFill="1" applyBorder="1" applyAlignment="1">
      <alignment horizontal="center" vertical="top" wrapText="1"/>
      <protection locked="0"/>
    </xf>
    <xf numFmtId="1" fontId="5" fillId="0" borderId="1" xfId="0" applyNumberFormat="1" applyFont="1" applyBorder="1" applyAlignment="1" applyProtection="1">
      <alignment horizontal="center" vertical="center" wrapText="1"/>
      <protection locked="0"/>
    </xf>
    <xf numFmtId="1" fontId="5" fillId="2" borderId="1" xfId="16" applyNumberFormat="1" applyFont="1" applyFill="1" applyBorder="1" applyAlignment="1">
      <alignment horizontal="center" vertical="center" wrapText="1"/>
      <protection locked="0"/>
    </xf>
    <xf numFmtId="0" fontId="0" fillId="0" borderId="1" xfId="0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14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5" fillId="56" borderId="18" xfId="0" applyFont="1" applyFill="1" applyBorder="1" applyAlignment="1">
      <alignment horizontal="left" vertical="center" wrapText="1"/>
    </xf>
    <xf numFmtId="0" fontId="5" fillId="56" borderId="2" xfId="0" applyFont="1" applyFill="1" applyBorder="1" applyAlignment="1">
      <alignment horizontal="left" vertical="center" wrapText="1"/>
    </xf>
    <xf numFmtId="0" fontId="5" fillId="56" borderId="6" xfId="0" applyFont="1" applyFill="1" applyBorder="1" applyAlignment="1">
      <alignment horizontal="left" vertical="center" wrapText="1"/>
    </xf>
    <xf numFmtId="0" fontId="5" fillId="56" borderId="8" xfId="0" applyFont="1" applyFill="1" applyBorder="1" applyAlignment="1">
      <alignment horizontal="left" vertical="center" wrapText="1"/>
    </xf>
    <xf numFmtId="0" fontId="19" fillId="0" borderId="0" xfId="4" applyBorder="1" applyAlignment="1">
      <alignment wrapText="1"/>
    </xf>
    <xf numFmtId="0" fontId="0" fillId="0" borderId="0" xfId="0" applyAlignment="1"/>
    <xf numFmtId="0" fontId="23" fillId="0" borderId="0" xfId="0" applyFont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34" fillId="0" borderId="1" xfId="0" applyFont="1" applyBorder="1" applyAlignment="1">
      <alignment horizontal="left" vertical="top" wrapText="1"/>
    </xf>
    <xf numFmtId="0" fontId="69" fillId="0" borderId="1" xfId="0" applyFont="1" applyBorder="1" applyAlignment="1">
      <alignment horizontal="left" vertical="top" wrapText="1"/>
    </xf>
    <xf numFmtId="0" fontId="69" fillId="0" borderId="1" xfId="0" applyFont="1" applyBorder="1" applyAlignment="1">
      <alignment horizontal="left" vertical="top"/>
    </xf>
    <xf numFmtId="0" fontId="95" fillId="0" borderId="37" xfId="0" applyFont="1" applyBorder="1" applyAlignment="1">
      <alignment horizontal="left" vertical="top" wrapText="1"/>
    </xf>
    <xf numFmtId="0" fontId="95" fillId="0" borderId="38" xfId="0" applyFont="1" applyBorder="1" applyAlignment="1">
      <alignment horizontal="left" vertical="top" wrapText="1"/>
    </xf>
    <xf numFmtId="0" fontId="95" fillId="0" borderId="39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wrapText="1"/>
    </xf>
    <xf numFmtId="0" fontId="21" fillId="0" borderId="0" xfId="0" applyFont="1"/>
    <xf numFmtId="0" fontId="105" fillId="0" borderId="49" xfId="58" applyFont="1" applyBorder="1"/>
    <xf numFmtId="0" fontId="54" fillId="0" borderId="57" xfId="58" applyBorder="1"/>
    <xf numFmtId="0" fontId="54" fillId="0" borderId="58" xfId="58" applyBorder="1"/>
    <xf numFmtId="0" fontId="106" fillId="0" borderId="49" xfId="58" applyFont="1" applyBorder="1"/>
    <xf numFmtId="0" fontId="106" fillId="0" borderId="50" xfId="58" applyFont="1" applyBorder="1"/>
    <xf numFmtId="0" fontId="104" fillId="3" borderId="59" xfId="58" applyFont="1" applyFill="1" applyBorder="1" applyAlignment="1">
      <alignment wrapText="1"/>
    </xf>
    <xf numFmtId="0" fontId="54" fillId="23" borderId="1" xfId="58" applyFill="1" applyBorder="1" applyAlignment="1">
      <alignment horizontal="center" wrapText="1"/>
    </xf>
    <xf numFmtId="0" fontId="54" fillId="0" borderId="1" xfId="58" applyBorder="1" applyAlignment="1">
      <alignment wrapText="1"/>
    </xf>
    <xf numFmtId="0" fontId="54" fillId="0" borderId="37" xfId="58" applyBorder="1" applyAlignment="1">
      <alignment horizontal="center" wrapText="1"/>
    </xf>
    <xf numFmtId="0" fontId="106" fillId="0" borderId="40" xfId="58" applyFont="1" applyBorder="1"/>
    <xf numFmtId="0" fontId="104" fillId="3" borderId="59" xfId="58" applyFont="1" applyFill="1" applyBorder="1"/>
    <xf numFmtId="0" fontId="54" fillId="23" borderId="1" xfId="58" applyFill="1" applyBorder="1" applyAlignment="1">
      <alignment horizontal="center"/>
    </xf>
    <xf numFmtId="0" fontId="54" fillId="5" borderId="1" xfId="58" applyFill="1" applyBorder="1"/>
    <xf numFmtId="49" fontId="54" fillId="0" borderId="37" xfId="58" applyNumberFormat="1" applyBorder="1" applyAlignment="1">
      <alignment horizontal="center"/>
    </xf>
    <xf numFmtId="0" fontId="54" fillId="0" borderId="59" xfId="58" applyFont="1" applyBorder="1" applyAlignment="1">
      <alignment horizontal="center"/>
    </xf>
    <xf numFmtId="0" fontId="54" fillId="0" borderId="40" xfId="58" applyFont="1" applyBorder="1"/>
    <xf numFmtId="49" fontId="54" fillId="0" borderId="37" xfId="58" applyNumberFormat="1" applyBorder="1" applyAlignment="1">
      <alignment horizontal="center" wrapText="1"/>
    </xf>
    <xf numFmtId="0" fontId="54" fillId="0" borderId="59" xfId="58" applyFont="1" applyBorder="1" applyAlignment="1">
      <alignment horizontal="center" wrapText="1"/>
    </xf>
    <xf numFmtId="0" fontId="54" fillId="0" borderId="59" xfId="58" applyFont="1" applyBorder="1"/>
    <xf numFmtId="0" fontId="104" fillId="3" borderId="60" xfId="58" applyFont="1" applyFill="1" applyBorder="1"/>
    <xf numFmtId="0" fontId="54" fillId="23" borderId="61" xfId="58" applyFill="1" applyBorder="1" applyAlignment="1">
      <alignment horizontal="center"/>
    </xf>
    <xf numFmtId="0" fontId="54" fillId="5" borderId="61" xfId="58" applyFill="1" applyBorder="1"/>
    <xf numFmtId="49" fontId="54" fillId="0" borderId="62" xfId="58" applyNumberFormat="1" applyBorder="1" applyAlignment="1">
      <alignment horizontal="center"/>
    </xf>
    <xf numFmtId="0" fontId="54" fillId="0" borderId="63" xfId="58" applyFont="1" applyBorder="1"/>
    <xf numFmtId="0" fontId="54" fillId="0" borderId="0" xfId="58"/>
    <xf numFmtId="0" fontId="54" fillId="0" borderId="64" xfId="58" applyBorder="1"/>
    <xf numFmtId="0" fontId="54" fillId="0" borderId="39" xfId="58" applyBorder="1"/>
    <xf numFmtId="0" fontId="106" fillId="2" borderId="38" xfId="59" applyFont="1" applyFill="1" applyBorder="1" applyProtection="1">
      <protection hidden="1"/>
    </xf>
    <xf numFmtId="0" fontId="54" fillId="0" borderId="0" xfId="59"/>
    <xf numFmtId="0" fontId="34" fillId="0" borderId="1" xfId="58" applyFont="1" applyBorder="1" applyAlignment="1">
      <alignment horizontal="center" wrapText="1"/>
    </xf>
    <xf numFmtId="0" fontId="34" fillId="0" borderId="1" xfId="58" applyFont="1" applyBorder="1" applyAlignment="1">
      <alignment wrapText="1"/>
    </xf>
    <xf numFmtId="0" fontId="106" fillId="2" borderId="39" xfId="59" applyFont="1" applyFill="1" applyBorder="1" applyAlignment="1" applyProtection="1">
      <alignment wrapText="1"/>
      <protection hidden="1"/>
    </xf>
    <xf numFmtId="0" fontId="54" fillId="0" borderId="1" xfId="58" applyBorder="1" applyAlignment="1">
      <alignment horizontal="center"/>
    </xf>
    <xf numFmtId="0" fontId="106" fillId="2" borderId="39" xfId="59" applyFont="1" applyFill="1" applyBorder="1" applyAlignment="1" applyProtection="1">
      <alignment horizontal="center"/>
      <protection hidden="1"/>
    </xf>
    <xf numFmtId="0" fontId="54" fillId="0" borderId="61" xfId="58" applyBorder="1" applyAlignment="1">
      <alignment horizontal="center"/>
    </xf>
    <xf numFmtId="0" fontId="0" fillId="0" borderId="1" xfId="0" applyFill="1" applyBorder="1" applyAlignment="1">
      <alignment vertical="top" wrapText="1"/>
    </xf>
    <xf numFmtId="14" fontId="0" fillId="0" borderId="1" xfId="0" applyNumberFormat="1" applyBorder="1" applyAlignment="1">
      <alignment vertical="top"/>
    </xf>
    <xf numFmtId="49" fontId="0" fillId="0" borderId="1" xfId="0" applyNumberFormat="1" applyBorder="1" applyAlignment="1">
      <alignment vertical="top"/>
    </xf>
  </cellXfs>
  <cellStyles count="94">
    <cellStyle name="20 % - Akzent1" xfId="5" builtinId="30" customBuiltin="1"/>
    <cellStyle name="20 % - Akzent1 2" xfId="20"/>
    <cellStyle name="20 % - Akzent2" xfId="7" builtinId="34" customBuiltin="1"/>
    <cellStyle name="20 % - Akzent2 2" xfId="21"/>
    <cellStyle name="20 % - Akzent3" xfId="9" builtinId="38" customBuiltin="1"/>
    <cellStyle name="20 % - Akzent3 2" xfId="22"/>
    <cellStyle name="20 % - Akzent4" xfId="11" builtinId="42" customBuiltin="1"/>
    <cellStyle name="20 % - Akzent4 2" xfId="23"/>
    <cellStyle name="20 % - Akzent5" xfId="13" builtinId="46" customBuiltin="1"/>
    <cellStyle name="20 % - Akzent5 2" xfId="24"/>
    <cellStyle name="20 % - Akzent6" xfId="14" builtinId="50" customBuiltin="1"/>
    <cellStyle name="20 % - Akzent6 2" xfId="25"/>
    <cellStyle name="40 % - Akzent1" xfId="6" builtinId="31" customBuiltin="1"/>
    <cellStyle name="40 % - Akzent1 2" xfId="26"/>
    <cellStyle name="40 % - Akzent2" xfId="8" builtinId="35" customBuiltin="1"/>
    <cellStyle name="40 % - Akzent2 2" xfId="27"/>
    <cellStyle name="40 % - Akzent3" xfId="10" builtinId="39" customBuiltin="1"/>
    <cellStyle name="40 % - Akzent3 2" xfId="28"/>
    <cellStyle name="40 % - Akzent4" xfId="12" builtinId="43" customBuiltin="1"/>
    <cellStyle name="40 % - Akzent4 2" xfId="29"/>
    <cellStyle name="40 % - Akzent5 2" xfId="30"/>
    <cellStyle name="40 % - Akzent6 2" xfId="31"/>
    <cellStyle name="60 % - Akzent1 2" xfId="32"/>
    <cellStyle name="60 % - Akzent2 2" xfId="33"/>
    <cellStyle name="60 % - Akzent3 2" xfId="34"/>
    <cellStyle name="60 % - Akzent4 2" xfId="35"/>
    <cellStyle name="60 % - Akzent5 2" xfId="36"/>
    <cellStyle name="60 % - Akzent6 2" xfId="37"/>
    <cellStyle name="ACHTUNG" xfId="38"/>
    <cellStyle name="Akzent1 2" xfId="39"/>
    <cellStyle name="Akzent2 2" xfId="40"/>
    <cellStyle name="Akzent3 2" xfId="41"/>
    <cellStyle name="Akzent4 2" xfId="42"/>
    <cellStyle name="Akzent5 2" xfId="43"/>
    <cellStyle name="Akzent6 2" xfId="44"/>
    <cellStyle name="Analysenumfang" xfId="15"/>
    <cellStyle name="Ausgabe 2" xfId="45"/>
    <cellStyle name="Barcode" xfId="16"/>
    <cellStyle name="Barcode 139" xfId="70"/>
    <cellStyle name="Bemerkung" xfId="92"/>
    <cellStyle name="Bemerkungen 1-3" xfId="69"/>
    <cellStyle name="Berechnung 2" xfId="46"/>
    <cellStyle name="Bodenart" xfId="77"/>
    <cellStyle name="Eingabe 2" xfId="47"/>
    <cellStyle name="Ergebnis 2" xfId="48"/>
    <cellStyle name="Erklärender Text 2" xfId="49"/>
    <cellStyle name="Erntereste" xfId="76"/>
    <cellStyle name="fixed" xfId="50"/>
    <cellStyle name="Gut 2" xfId="51"/>
    <cellStyle name="Humusstufe" xfId="78"/>
    <cellStyle name="Hyperlink" xfId="1" builtinId="8" hidden="1"/>
    <cellStyle name="Hyperlink" xfId="19" builtinId="8" customBuiltin="1"/>
    <cellStyle name="Hyperlink 2" xfId="52"/>
    <cellStyle name="KommPN" xfId="18"/>
    <cellStyle name="lfd Nr" xfId="17"/>
    <cellStyle name="Neutral 2" xfId="53"/>
    <cellStyle name="Normal" xfId="54"/>
    <cellStyle name="Notiz 2" xfId="55"/>
    <cellStyle name="Nutzung" xfId="75"/>
    <cellStyle name="Schlaggröße" xfId="74"/>
    <cellStyle name="Schlagname" xfId="73"/>
    <cellStyle name="Schlagnummer" xfId="71"/>
    <cellStyle name="Schlecht 2" xfId="56"/>
    <cellStyle name="sort_gelb" xfId="79"/>
    <cellStyle name="Standard" xfId="0" builtinId="0" customBuiltin="1"/>
    <cellStyle name="Standard 2" xfId="57"/>
    <cellStyle name="Standard 2 2" xfId="58"/>
    <cellStyle name="Standard 3" xfId="59"/>
    <cellStyle name="Standard 4" xfId="60"/>
    <cellStyle name="Standard 5" xfId="61"/>
    <cellStyle name="Teilschlagnummer" xfId="72"/>
    <cellStyle name="Ü_Bemerkungen" xfId="80"/>
    <cellStyle name="Ü_Bodenart_Humus" xfId="81"/>
    <cellStyle name="Ü_Erntereste" xfId="82"/>
    <cellStyle name="Ü_lfd_Nr" xfId="83"/>
    <cellStyle name="Ü_Nutzung_Erntereste" xfId="84"/>
    <cellStyle name="Ü_Schlaggröße" xfId="85"/>
    <cellStyle name="Ü_Schlagname" xfId="86"/>
    <cellStyle name="Ü_Schlagnummer" xfId="87"/>
    <cellStyle name="Ü_Standard" xfId="88"/>
    <cellStyle name="Ü_Teilschlagnummer" xfId="89"/>
    <cellStyle name="Ü_Tütenbarcode" xfId="90"/>
    <cellStyle name="Ü_zus_Analy" xfId="91"/>
    <cellStyle name="Überschrift" xfId="2" builtinId="15" customBuiltin="1"/>
    <cellStyle name="Überschrift 1" xfId="3" builtinId="16"/>
    <cellStyle name="Überschrift 1 2" xfId="62"/>
    <cellStyle name="Überschrift 2" xfId="4" builtinId="17"/>
    <cellStyle name="Überschrift 2 2" xfId="63"/>
    <cellStyle name="Überschrift 3" xfId="93" builtinId="18"/>
    <cellStyle name="Überschrift 3 2" xfId="64"/>
    <cellStyle name="Überschrift 4 2" xfId="65"/>
    <cellStyle name="Verknüpfte Zelle 2" xfId="66"/>
    <cellStyle name="Warnender Text 2" xfId="67"/>
    <cellStyle name="Zelle überprüfen 2" xfId="68"/>
  </cellStyles>
  <dxfs count="97"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rgb="FFFF6600"/>
        <name val="Calibri"/>
        <scheme val="minor"/>
      </font>
    </dxf>
    <dxf>
      <font>
        <strike val="0"/>
        <outline val="0"/>
        <shadow val="0"/>
        <u val="none"/>
        <vertAlign val="baseline"/>
        <sz val="18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  <name val="Arial"/>
        <scheme val="none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font>
        <strike val="0"/>
        <outline val="0"/>
        <shadow val="0"/>
        <u val="none"/>
        <vertAlign val="baseline"/>
        <sz val="18"/>
        <color theme="1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6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6"/>
        <name val="Arial"/>
        <scheme val="none"/>
      </font>
      <alignment horizontal="left" vertical="center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alignment horizontal="left" vertical="center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6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6"/>
        <name val="Arial"/>
        <scheme val="none"/>
      </font>
      <alignment horizontal="left" vertical="center" wrapTex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6"/>
        <name val="Arial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6"/>
        <name val="Arial"/>
        <scheme val="none"/>
      </font>
      <numFmt numFmtId="30" formatCode="@"/>
      <alignment horizontal="left" vertical="center" wrapTex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6"/>
        <name val="Arial"/>
        <scheme val="none"/>
      </font>
      <numFmt numFmtId="1" formatCode="0"/>
      <alignment horizontal="left" vertical="center" wrapTex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strike val="0"/>
        <outline val="0"/>
        <shadow val="0"/>
        <u val="none"/>
        <vertAlign val="baseline"/>
        <sz val="14"/>
        <name val="Arial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name val="Arial"/>
        <scheme val="none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ck">
          <color indexed="64"/>
        </left>
        <right style="thick">
          <color indexed="64"/>
        </right>
        <top style="thin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protection locked="0" hidden="0"/>
    </dxf>
    <dxf>
      <border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CFFCC"/>
        <name val="Arial"/>
        <scheme val="none"/>
      </font>
      <numFmt numFmtId="30" formatCode="@"/>
      <fill>
        <patternFill patternType="solid">
          <fgColor indexed="64"/>
          <bgColor rgb="FFCCFFCC"/>
        </patternFill>
      </fill>
      <alignment horizontal="center" vertical="center" textRotation="9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  <protection locked="1" hidden="1"/>
    </dxf>
    <dxf>
      <font>
        <color rgb="FF9C0006"/>
      </font>
      <fill>
        <patternFill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rgb="FFFFC000"/>
        </patternFill>
      </fill>
    </dxf>
    <dxf>
      <fill>
        <patternFill patternType="gray0625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gray0625">
          <bgColor rgb="FFFFC000"/>
        </patternFill>
      </fill>
    </dxf>
    <dxf>
      <fill>
        <patternFill>
          <bgColor rgb="FFFFC000"/>
        </patternFill>
      </fill>
    </dxf>
    <dxf>
      <fill>
        <patternFill patternType="gray0625"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 patternType="gray0625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theme="0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medium">
          <color auto="1"/>
        </vertical>
        <horizontal style="medium">
          <color auto="1"/>
        </horizontal>
      </border>
    </dxf>
  </dxfs>
  <tableStyles count="2" defaultTableStyle="Tabellenformat 2" defaultPivotStyle="PivotStyleLight16">
    <tableStyle name="Tabellenformat 1" pivot="0" count="0"/>
    <tableStyle name="Tabellenformat 2" pivot="0" count="1">
      <tableStyleElement type="wholeTable" dxfId="96"/>
    </tableStyle>
  </tableStyles>
  <colors>
    <mruColors>
      <color rgb="FF00CC66"/>
      <color rgb="FFFFFFCC"/>
      <color rgb="FFCC00CC"/>
      <color rgb="FFFFCCFF"/>
      <color rgb="FF00FF99"/>
      <color rgb="FFFF6600"/>
      <color rgb="FFFFCC99"/>
      <color rgb="FFFFCC66"/>
      <color rgb="FFCCFFCC"/>
      <color rgb="FFFAED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emf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2009775</xdr:colOff>
          <xdr:row>22</xdr:row>
          <xdr:rowOff>257175</xdr:rowOff>
        </xdr:from>
        <xdr:to>
          <xdr:col>6</xdr:col>
          <xdr:colOff>2085975</xdr:colOff>
          <xdr:row>24</xdr:row>
          <xdr:rowOff>19050</xdr:rowOff>
        </xdr:to>
        <xdr:sp macro="" textlink="">
          <xdr:nvSpPr>
            <xdr:cNvPr id="8229" name="NminTyp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544286</xdr:colOff>
      <xdr:row>1</xdr:row>
      <xdr:rowOff>81643</xdr:rowOff>
    </xdr:from>
    <xdr:to>
      <xdr:col>26</xdr:col>
      <xdr:colOff>365793</xdr:colOff>
      <xdr:row>2</xdr:row>
      <xdr:rowOff>176092</xdr:rowOff>
    </xdr:to>
    <xdr:sp macro="" textlink="">
      <xdr:nvSpPr>
        <xdr:cNvPr id="6" name="Textfeld 5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2736286" y="272143"/>
          <a:ext cx="6325721" cy="284949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 b="1">
              <a:solidFill>
                <a:schemeClr val="bg1"/>
              </a:solidFill>
            </a:rPr>
            <a:t>Anmerkung: Für LOBSTER-ProfilAL_agrar_async_imp_PN_N306090_v1.01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85725</xdr:rowOff>
        </xdr:from>
        <xdr:to>
          <xdr:col>7</xdr:col>
          <xdr:colOff>409575</xdr:colOff>
          <xdr:row>9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CSV für Agrolab</a:t>
              </a:r>
            </a:p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PDF zum Ausdruck für Kiste</a:t>
              </a:r>
            </a:p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XLSM als Quittung oder Vorlage 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</xdr:row>
          <xdr:rowOff>95250</xdr:rowOff>
        </xdr:from>
        <xdr:to>
          <xdr:col>12</xdr:col>
          <xdr:colOff>428625</xdr:colOff>
          <xdr:row>9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XLSM wiederverwerten</a:t>
              </a:r>
            </a:p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(MANUELL rotes Excel-Blatt LÖSCHEN! *)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169</xdr:row>
      <xdr:rowOff>0</xdr:rowOff>
    </xdr:from>
    <xdr:to>
      <xdr:col>6</xdr:col>
      <xdr:colOff>619125</xdr:colOff>
      <xdr:row>183</xdr:row>
      <xdr:rowOff>0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30060900"/>
          <a:ext cx="4429125" cy="2667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0</xdr:colOff>
      <xdr:row>187</xdr:row>
      <xdr:rowOff>0</xdr:rowOff>
    </xdr:from>
    <xdr:to>
      <xdr:col>8</xdr:col>
      <xdr:colOff>426720</xdr:colOff>
      <xdr:row>195</xdr:row>
      <xdr:rowOff>97790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33489900"/>
          <a:ext cx="5760720" cy="16217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208</xdr:row>
      <xdr:rowOff>0</xdr:rowOff>
    </xdr:from>
    <xdr:to>
      <xdr:col>8</xdr:col>
      <xdr:colOff>171450</xdr:colOff>
      <xdr:row>219</xdr:row>
      <xdr:rowOff>133350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37566600"/>
          <a:ext cx="5505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10</xdr:col>
      <xdr:colOff>94350</xdr:colOff>
      <xdr:row>35</xdr:row>
      <xdr:rowOff>161925</xdr:rowOff>
    </xdr:to>
    <xdr:pic>
      <xdr:nvPicPr>
        <xdr:cNvPr id="14" name="Grafik 1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4000500"/>
          <a:ext cx="6952350" cy="30194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</xdr:colOff>
      <xdr:row>45</xdr:row>
      <xdr:rowOff>1</xdr:rowOff>
    </xdr:from>
    <xdr:to>
      <xdr:col>10</xdr:col>
      <xdr:colOff>655497</xdr:colOff>
      <xdr:row>74</xdr:row>
      <xdr:rowOff>78441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1" y="8886266"/>
          <a:ext cx="7513496" cy="56029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10</xdr:col>
      <xdr:colOff>648560</xdr:colOff>
      <xdr:row>128</xdr:row>
      <xdr:rowOff>179294</xdr:rowOff>
    </xdr:to>
    <xdr:pic>
      <xdr:nvPicPr>
        <xdr:cNvPr id="9" name="Grafik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0" y="22736735"/>
          <a:ext cx="7506560" cy="36195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138</xdr:row>
      <xdr:rowOff>0</xdr:rowOff>
    </xdr:from>
    <xdr:to>
      <xdr:col>8</xdr:col>
      <xdr:colOff>69675</xdr:colOff>
      <xdr:row>163</xdr:row>
      <xdr:rowOff>33618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1" y="29482676"/>
          <a:ext cx="5403674" cy="4796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169</xdr:row>
      <xdr:rowOff>0</xdr:rowOff>
    </xdr:from>
    <xdr:to>
      <xdr:col>6</xdr:col>
      <xdr:colOff>619125</xdr:colOff>
      <xdr:row>183</xdr:row>
      <xdr:rowOff>0</xdr:rowOff>
    </xdr:to>
    <xdr:pic>
      <xdr:nvPicPr>
        <xdr:cNvPr id="10" name="Grafik 9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35671125"/>
          <a:ext cx="4429125" cy="26670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0</xdr:colOff>
      <xdr:row>187</xdr:row>
      <xdr:rowOff>0</xdr:rowOff>
    </xdr:from>
    <xdr:to>
      <xdr:col>8</xdr:col>
      <xdr:colOff>426720</xdr:colOff>
      <xdr:row>195</xdr:row>
      <xdr:rowOff>97790</xdr:rowOff>
    </xdr:to>
    <xdr:pic>
      <xdr:nvPicPr>
        <xdr:cNvPr id="12" name="Grafik 11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39100125"/>
          <a:ext cx="5760720" cy="16217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208</xdr:row>
      <xdr:rowOff>0</xdr:rowOff>
    </xdr:from>
    <xdr:to>
      <xdr:col>8</xdr:col>
      <xdr:colOff>171450</xdr:colOff>
      <xdr:row>219</xdr:row>
      <xdr:rowOff>133350</xdr:rowOff>
    </xdr:to>
    <xdr:pic>
      <xdr:nvPicPr>
        <xdr:cNvPr id="13" name="Grafik 12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3176825"/>
          <a:ext cx="5505450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10</xdr:col>
      <xdr:colOff>94350</xdr:colOff>
      <xdr:row>35</xdr:row>
      <xdr:rowOff>161925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4000500"/>
          <a:ext cx="6952350" cy="30194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</xdr:colOff>
      <xdr:row>45</xdr:row>
      <xdr:rowOff>1</xdr:rowOff>
    </xdr:from>
    <xdr:to>
      <xdr:col>10</xdr:col>
      <xdr:colOff>655497</xdr:colOff>
      <xdr:row>74</xdr:row>
      <xdr:rowOff>78441</xdr:rowOff>
    </xdr:to>
    <xdr:pic>
      <xdr:nvPicPr>
        <xdr:cNvPr id="16" name="Grafik 1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1" y="8886826"/>
          <a:ext cx="7513496" cy="56029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10</xdr:col>
      <xdr:colOff>648560</xdr:colOff>
      <xdr:row>128</xdr:row>
      <xdr:rowOff>179294</xdr:rowOff>
    </xdr:to>
    <xdr:pic>
      <xdr:nvPicPr>
        <xdr:cNvPr id="18" name="Grafik 1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0" y="22736175"/>
          <a:ext cx="7506560" cy="3617819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138</xdr:row>
      <xdr:rowOff>0</xdr:rowOff>
    </xdr:from>
    <xdr:to>
      <xdr:col>8</xdr:col>
      <xdr:colOff>69675</xdr:colOff>
      <xdr:row>163</xdr:row>
      <xdr:rowOff>33618</xdr:rowOff>
    </xdr:to>
    <xdr:pic>
      <xdr:nvPicPr>
        <xdr:cNvPr id="19" name="Grafik 1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1" y="29470350"/>
          <a:ext cx="5403674" cy="479611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82</xdr:row>
      <xdr:rowOff>0</xdr:rowOff>
    </xdr:from>
    <xdr:to>
      <xdr:col>23</xdr:col>
      <xdr:colOff>7428</xdr:colOff>
      <xdr:row>101</xdr:row>
      <xdr:rowOff>66214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000" y="16999324"/>
          <a:ext cx="16771428" cy="36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275524</xdr:colOff>
      <xdr:row>42</xdr:row>
      <xdr:rowOff>8548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190500"/>
          <a:ext cx="5609524" cy="781904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_proben" displayName="t_proben" ref="A7:AP9" totalsRowShown="0" headerRowDxfId="82" dataDxfId="80" headerRowBorderDxfId="81" tableBorderDxfId="79">
  <autoFilter ref="A7:AP9"/>
  <tableColumns count="42">
    <tableColumn id="8" name="Bemerkung 2" dataDxfId="78" dataCellStyle="Bemerkung"/>
    <tableColumn id="23" name="Bemerkung 22" dataDxfId="77" dataCellStyle="Bemerkung"/>
    <tableColumn id="21" name="Bemerkung 3" dataDxfId="76" dataCellStyle="Bemerkung"/>
    <tableColumn id="2" name="lfd.Nr. /GPS" dataDxfId="75" dataCellStyle="lfd Nr">
      <calculatedColumnFormula>ROW(8:8)-8</calculatedColumnFormula>
    </tableColumn>
    <tableColumn id="1" name="Tütenbarcode" dataDxfId="74" dataCellStyle="Barcode"/>
    <tableColumn id="46" name="Spalte33" dataDxfId="73" dataCellStyle="Barcode"/>
    <tableColumn id="45" name="Spalte32" dataDxfId="72" dataCellStyle="Barcode"/>
    <tableColumn id="3" name="Schlagnr." dataDxfId="71"/>
    <tableColumn id="6" name="Teilschlagnr." dataDxfId="70"/>
    <tableColumn id="4" name="Schlagname" dataDxfId="69"/>
    <tableColumn id="5" name="S-Erweiterung" dataDxfId="68"/>
    <tableColumn id="7" name="Schlag-größe_x000a_[ha]" dataDxfId="67"/>
    <tableColumn id="26" name="Spalte3" dataDxfId="66"/>
    <tableColumn id="9" name="Spalte29" dataDxfId="65">
      <calculatedColumnFormula>IF(ISBLANK(E8),"","A")</calculatedColumnFormula>
    </tableColumn>
    <tableColumn id="10" name="Spalte30" dataDxfId="64"/>
    <tableColumn id="27" name="Spalte4" dataDxfId="63"/>
    <tableColumn id="24" name="Spalte2" dataDxfId="62" dataCellStyle="Bodenart"/>
    <tableColumn id="28" name="Spalte22" dataDxfId="61" dataCellStyle="Bodenart"/>
    <tableColumn id="33" name="Spalte222" dataDxfId="60" dataCellStyle="Bodenart"/>
    <tableColumn id="32" name="Spalte23" dataDxfId="59" dataCellStyle="Bodenart"/>
    <tableColumn id="22" name="Spalte1" dataDxfId="58" dataCellStyle="Bodenart"/>
    <tableColumn id="11" name="Spalte6" dataDxfId="57" dataCellStyle="Analysenumfang">
      <calculatedColumnFormula>IF(ISBLANK(E8),"","x")</calculatedColumnFormula>
    </tableColumn>
    <tableColumn id="12" name="Spalte7" dataDxfId="56" dataCellStyle="Analysenumfang"/>
    <tableColumn id="34" name="Spalte8" dataDxfId="55" dataCellStyle="Analysenumfang"/>
    <tableColumn id="35" name="Spalte9" dataDxfId="54" dataCellStyle="Analysenumfang"/>
    <tableColumn id="36" name="Spalte10" dataDxfId="53" dataCellStyle="Analysenumfang"/>
    <tableColumn id="37" name="Spalte11" dataDxfId="52" dataCellStyle="Analysenumfang"/>
    <tableColumn id="38" name="Spalte12" dataDxfId="51" dataCellStyle="Analysenumfang"/>
    <tableColumn id="39" name="Spalte13" dataDxfId="50" dataCellStyle="Analysenumfang"/>
    <tableColumn id="40" name="Spalte14" dataDxfId="49" dataCellStyle="Analysenumfang"/>
    <tableColumn id="41" name="Spalte15" dataDxfId="48" dataCellStyle="Analysenumfang"/>
    <tableColumn id="13" name="Spalte16" dataCellStyle="Analysenumfang"/>
    <tableColumn id="14" name="Spalte17" dataCellStyle="Analysenumfang"/>
    <tableColumn id="15" name="Spalte18" dataCellStyle="Analysenumfang"/>
    <tableColumn id="16" name="Spalte19" dataCellStyle="Analysenumfang"/>
    <tableColumn id="17" name="Spalte20" dataCellStyle="Analysenumfang"/>
    <tableColumn id="18" name="Spalte21" dataCellStyle="Analysenumfang"/>
    <tableColumn id="19" name="Spalte24" dataCellStyle="Analysenumfang"/>
    <tableColumn id="20" name="Spalte25" dataCellStyle="Analysenumfang"/>
    <tableColumn id="29" name="Spalte26" dataCellStyle="Analysenumfang"/>
    <tableColumn id="30" name="Spalte27" dataCellStyle="Analysenumfang"/>
    <tableColumn id="31" name="Spalte28" dataCellStyle="Analysenumfang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_Nutzung" displayName="t_Nutzung" ref="A3:B9" totalsRowShown="0" headerRowDxfId="47" dataDxfId="46">
  <autoFilter ref="A3:B9"/>
  <tableColumns count="2">
    <tableColumn id="1" name="Abkürzung Nutzung" dataDxfId="45"/>
    <tableColumn id="2" name="Langtext Nutzung" dataDxfId="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_Erntereste" displayName="t_Erntereste" ref="E3:F5" totalsRowShown="0" headerRowDxfId="43" dataDxfId="42">
  <autoFilter ref="E3:F5"/>
  <tableColumns count="2">
    <tableColumn id="1" name="Abkürzung Erntereste" dataDxfId="41"/>
    <tableColumn id="2" name="Langtext Erntereste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_Fruchtarten_Nährstoffe" displayName="t_Fruchtarten_Nährstoffe" ref="H3:P77" totalsRowShown="0" headerRowDxfId="39" dataDxfId="38">
  <autoFilter ref="H3:P77"/>
  <sortState ref="H4:P77">
    <sortCondition ref="K3:K77"/>
  </sortState>
  <tableColumns count="9">
    <tableColumn id="8" name="Prio" dataDxfId="37"/>
    <tableColumn id="9" name="Sortierung" dataDxfId="36">
      <calculatedColumnFormula>LEFT(t_Fruchtarten_Nährstoffe[[#This Row],[FRUARTTEXT]],1)</calculatedColumnFormula>
    </tableColumn>
    <tableColumn id="1" name="FRUART" dataDxfId="35"/>
    <tableColumn id="2" name="FRUARTTEXT" dataDxfId="34"/>
    <tableColumn id="4" name="P2O5" dataDxfId="33"/>
    <tableColumn id="3" name="K2O" dataDxfId="32"/>
    <tableColumn id="5" name="ERTRAG" dataDxfId="31"/>
    <tableColumn id="6" name="P2O5_BRUTTO" dataDxfId="30"/>
    <tableColumn id="7" name="K2O_BRUTTO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_Labore" displayName="t_Labore" ref="A18:C21" totalsRowShown="0" headerRowDxfId="28" dataDxfId="27">
  <autoFilter ref="A18:C21"/>
  <tableColumns count="3">
    <tableColumn id="1" name="Standort" dataDxfId="26"/>
    <tableColumn id="2" name="Kürzel" dataDxfId="25"/>
    <tableColumn id="3" name="Nr" dataDxfId="24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6" name="t_Extraktion" displayName="t_Extraktion" ref="A25:B27" totalsRowShown="0" headerRowDxfId="23" dataDxfId="22">
  <autoFilter ref="A25:B27"/>
  <tableColumns count="2">
    <tableColumn id="1" name="Abkürzung" dataDxfId="21"/>
    <tableColumn id="2" name="Lang" dataDxfId="20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7" name="t_Trockengebiet" displayName="t_Trockengebiet" ref="A33:B35" totalsRowShown="0" headerRowDxfId="19" dataDxfId="18">
  <autoFilter ref="A33:B35"/>
  <tableColumns count="2">
    <tableColumn id="1" name="Trockengebiet" dataDxfId="17"/>
    <tableColumn id="2" name="Auswahl" dataDxfId="1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8" name="t_Boden_Schwer" displayName="t_Boden_Schwer" ref="A39:B41" totalsRowShown="0" headerRowDxfId="15" dataDxfId="14">
  <autoFilter ref="A39:B41"/>
  <tableColumns count="2">
    <tableColumn id="1" name="Boden schwer" dataDxfId="13"/>
    <tableColumn id="2" name="Auswahl" dataDxfId="12"/>
  </tableColumns>
  <tableStyleInfo name="Tabellenformat 2" showFirstColumn="0" showLastColumn="0" showRowStripes="1" showColumnStripes="0"/>
</table>
</file>

<file path=xl/tables/table9.xml><?xml version="1.0" encoding="utf-8"?>
<table xmlns="http://schemas.openxmlformats.org/spreadsheetml/2006/main" id="9" name="t_AGB" displayName="t_AGB" ref="E12:F13" totalsRowShown="0" headerRowDxfId="11" dataDxfId="10">
  <autoFilter ref="E12:F13"/>
  <tableColumns count="2">
    <tableColumn id="1" name="AGB akzeptieren" dataDxfId="9"/>
    <tableColumn id="2" name="Status" dataDxfId="8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0" name="t_Analyse" displayName="t_Analyse" ref="E16:F17" totalsRowShown="0" headerRowDxfId="7" dataDxfId="6">
  <autoFilter ref="E16:F17"/>
  <tableColumns count="2">
    <tableColumn id="1" name="Analyseumpfang" dataDxfId="5"/>
    <tableColumn id="2" name="Auswahl" dataDxfId="4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1" name="t_Auftrag_je_Schlag" displayName="t_Auftrag_je_Schlag" ref="E20:F21" totalsRowShown="0" headerRowDxfId="3" dataDxfId="2">
  <autoFilter ref="E20:F21"/>
  <tableColumns count="2">
    <tableColumn id="1" name="Auftrag je Schlag" dataDxfId="1"/>
    <tableColumn id="2" name="Auswahl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grolab.com/de/agb.htm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FF00"/>
    <pageSetUpPr fitToPage="1"/>
  </sheetPr>
  <dimension ref="A1:I41"/>
  <sheetViews>
    <sheetView showGridLines="0" zoomScale="70" zoomScaleNormal="70" workbookViewId="0"/>
  </sheetViews>
  <sheetFormatPr baseColWidth="10" defaultColWidth="11.42578125" defaultRowHeight="15" x14ac:dyDescent="0.25"/>
  <cols>
    <col min="1" max="1" width="11.42578125" style="110"/>
    <col min="2" max="2" width="43.7109375" style="110" customWidth="1"/>
    <col min="3" max="3" width="44.42578125" style="110" customWidth="1"/>
    <col min="4" max="5" width="11.42578125" style="110"/>
    <col min="6" max="6" width="30.140625" style="110" customWidth="1"/>
    <col min="7" max="7" width="31.42578125" style="110" customWidth="1"/>
    <col min="8" max="8" width="27.85546875" style="110" customWidth="1"/>
    <col min="9" max="9" width="12.42578125" style="110" customWidth="1"/>
    <col min="10" max="16384" width="11.42578125" style="110"/>
  </cols>
  <sheetData>
    <row r="1" spans="1:9" ht="21" thickBot="1" x14ac:dyDescent="0.35">
      <c r="A1" s="180">
        <v>306090</v>
      </c>
      <c r="B1" s="180">
        <v>306090</v>
      </c>
      <c r="C1" s="180">
        <v>306090</v>
      </c>
      <c r="D1" s="180">
        <v>306090</v>
      </c>
      <c r="E1" s="180">
        <v>306090</v>
      </c>
      <c r="F1" s="180">
        <v>306090</v>
      </c>
      <c r="G1" s="180">
        <v>306090</v>
      </c>
      <c r="H1" s="180">
        <v>306090</v>
      </c>
      <c r="I1" s="180">
        <v>306090</v>
      </c>
    </row>
    <row r="2" spans="1:9" ht="26.25" customHeight="1" thickTop="1" thickBot="1" x14ac:dyDescent="0.35">
      <c r="A2" s="181"/>
      <c r="B2" s="254" t="s">
        <v>619</v>
      </c>
      <c r="C2" s="255"/>
      <c r="D2" s="184"/>
      <c r="E2" s="182"/>
      <c r="F2" s="182"/>
      <c r="G2" s="182"/>
      <c r="H2" s="182"/>
      <c r="I2" s="181"/>
    </row>
    <row r="3" spans="1:9" ht="21.75" thickTop="1" thickBot="1" x14ac:dyDescent="0.35">
      <c r="A3" s="181"/>
      <c r="B3" s="256"/>
      <c r="C3" s="257"/>
      <c r="D3" s="182"/>
      <c r="E3" s="182"/>
      <c r="F3" s="131" t="s">
        <v>0</v>
      </c>
      <c r="G3" s="132" t="s">
        <v>625</v>
      </c>
      <c r="H3" s="182"/>
      <c r="I3" s="181"/>
    </row>
    <row r="4" spans="1:9" ht="22.5" thickTop="1" thickBot="1" x14ac:dyDescent="0.4">
      <c r="A4" s="181"/>
      <c r="B4" s="133"/>
      <c r="C4" s="168" t="s">
        <v>1</v>
      </c>
      <c r="D4" s="182"/>
      <c r="E4" s="182"/>
      <c r="F4" s="112" t="s">
        <v>542</v>
      </c>
      <c r="G4" s="141"/>
      <c r="H4" s="182"/>
      <c r="I4" s="181"/>
    </row>
    <row r="5" spans="1:9" ht="22.5" thickTop="1" thickBot="1" x14ac:dyDescent="0.4">
      <c r="A5" s="181"/>
      <c r="B5" s="113" t="s">
        <v>2</v>
      </c>
      <c r="C5" s="169"/>
      <c r="D5" s="182"/>
      <c r="E5" s="182"/>
      <c r="F5" s="112" t="s">
        <v>543</v>
      </c>
      <c r="G5" s="141"/>
      <c r="H5" s="182"/>
      <c r="I5" s="181"/>
    </row>
    <row r="6" spans="1:9" ht="21.75" thickTop="1" thickBot="1" x14ac:dyDescent="0.35">
      <c r="A6" s="181"/>
      <c r="B6" s="184"/>
      <c r="C6" s="182"/>
      <c r="D6" s="182"/>
      <c r="E6" s="182"/>
      <c r="F6" s="182"/>
      <c r="G6" s="182"/>
      <c r="H6" s="182"/>
      <c r="I6" s="181"/>
    </row>
    <row r="7" spans="1:9" ht="21" thickTop="1" x14ac:dyDescent="0.3">
      <c r="A7" s="181"/>
      <c r="B7" s="114" t="s">
        <v>3</v>
      </c>
      <c r="C7" s="115"/>
      <c r="D7" s="182"/>
      <c r="E7" s="182"/>
      <c r="F7" s="116" t="s">
        <v>4</v>
      </c>
      <c r="G7" s="117"/>
      <c r="H7" s="181"/>
      <c r="I7" s="181"/>
    </row>
    <row r="8" spans="1:9" ht="20.25" x14ac:dyDescent="0.3">
      <c r="A8" s="181"/>
      <c r="B8" s="118" t="s">
        <v>5</v>
      </c>
      <c r="C8" s="129"/>
      <c r="D8" s="182"/>
      <c r="E8" s="182"/>
      <c r="F8" s="118" t="s">
        <v>6</v>
      </c>
      <c r="G8" s="154"/>
      <c r="H8" s="181"/>
      <c r="I8" s="181"/>
    </row>
    <row r="9" spans="1:9" ht="20.25" x14ac:dyDescent="0.3">
      <c r="A9" s="181"/>
      <c r="B9" s="118" t="s">
        <v>7</v>
      </c>
      <c r="C9" s="129"/>
      <c r="D9" s="182"/>
      <c r="E9" s="182"/>
      <c r="F9" s="118" t="s">
        <v>8</v>
      </c>
      <c r="G9" s="129"/>
      <c r="H9" s="181"/>
      <c r="I9" s="181"/>
    </row>
    <row r="10" spans="1:9" ht="20.25" x14ac:dyDescent="0.3">
      <c r="A10" s="181"/>
      <c r="B10" s="118" t="s">
        <v>9</v>
      </c>
      <c r="C10" s="170"/>
      <c r="D10" s="182"/>
      <c r="E10" s="182"/>
      <c r="F10" s="118" t="s">
        <v>9</v>
      </c>
      <c r="G10" s="154"/>
      <c r="H10" s="181"/>
      <c r="I10" s="181"/>
    </row>
    <row r="11" spans="1:9" ht="20.25" x14ac:dyDescent="0.3">
      <c r="A11" s="181"/>
      <c r="B11" s="118" t="s">
        <v>10</v>
      </c>
      <c r="C11" s="129"/>
      <c r="D11" s="182"/>
      <c r="E11" s="182"/>
      <c r="F11" s="118" t="s">
        <v>10</v>
      </c>
      <c r="G11" s="142"/>
      <c r="H11" s="181"/>
      <c r="I11" s="181"/>
    </row>
    <row r="12" spans="1:9" ht="20.25" x14ac:dyDescent="0.3">
      <c r="A12" s="181"/>
      <c r="B12" s="118" t="s">
        <v>11</v>
      </c>
      <c r="C12" s="170"/>
      <c r="D12" s="182"/>
      <c r="E12" s="182"/>
      <c r="F12" s="118" t="s">
        <v>11</v>
      </c>
      <c r="G12" s="154"/>
      <c r="H12" s="181"/>
      <c r="I12" s="181"/>
    </row>
    <row r="13" spans="1:9" ht="20.25" x14ac:dyDescent="0.3">
      <c r="A13" s="181"/>
      <c r="B13" s="118" t="s">
        <v>12</v>
      </c>
      <c r="C13" s="171"/>
      <c r="D13" s="182"/>
      <c r="E13" s="182"/>
      <c r="F13" s="118" t="s">
        <v>12</v>
      </c>
      <c r="G13" s="155"/>
      <c r="H13" s="181"/>
      <c r="I13" s="181"/>
    </row>
    <row r="14" spans="1:9" ht="20.25" x14ac:dyDescent="0.3">
      <c r="A14" s="181"/>
      <c r="B14" s="118" t="s">
        <v>13</v>
      </c>
      <c r="C14" s="170"/>
      <c r="D14" s="182"/>
      <c r="E14" s="182"/>
      <c r="F14" s="118" t="s">
        <v>13</v>
      </c>
      <c r="G14" s="154"/>
      <c r="H14" s="181"/>
      <c r="I14" s="181"/>
    </row>
    <row r="15" spans="1:9" ht="20.25" x14ac:dyDescent="0.3">
      <c r="A15" s="181"/>
      <c r="B15" s="118" t="s">
        <v>14</v>
      </c>
      <c r="C15" s="134"/>
      <c r="D15" s="182"/>
      <c r="E15" s="182"/>
      <c r="F15" s="118" t="s">
        <v>14</v>
      </c>
      <c r="G15" s="129"/>
      <c r="H15" s="181"/>
      <c r="I15" s="181"/>
    </row>
    <row r="16" spans="1:9" ht="20.25" x14ac:dyDescent="0.3">
      <c r="A16" s="181"/>
      <c r="B16" s="118" t="s">
        <v>15</v>
      </c>
      <c r="C16" s="135"/>
      <c r="D16" s="182"/>
      <c r="E16" s="182"/>
      <c r="F16" s="118" t="s">
        <v>15</v>
      </c>
      <c r="G16" s="135"/>
      <c r="H16" s="181"/>
      <c r="I16" s="181"/>
    </row>
    <row r="17" spans="1:9" ht="20.25" x14ac:dyDescent="0.3">
      <c r="A17" s="181"/>
      <c r="B17" s="118" t="s">
        <v>16</v>
      </c>
      <c r="C17" s="170"/>
      <c r="D17" s="182"/>
      <c r="E17" s="182"/>
      <c r="F17" s="118" t="s">
        <v>16</v>
      </c>
      <c r="G17" s="129"/>
      <c r="H17" s="181"/>
      <c r="I17" s="181"/>
    </row>
    <row r="18" spans="1:9" ht="20.25" x14ac:dyDescent="0.3">
      <c r="A18" s="181"/>
      <c r="B18" s="119" t="s">
        <v>17</v>
      </c>
      <c r="C18" s="170"/>
      <c r="D18" s="182"/>
      <c r="E18" s="182"/>
      <c r="F18" s="118" t="s">
        <v>17</v>
      </c>
      <c r="G18" s="129"/>
      <c r="H18" s="181"/>
      <c r="I18" s="181"/>
    </row>
    <row r="19" spans="1:9" ht="21" thickBot="1" x14ac:dyDescent="0.35">
      <c r="A19" s="181"/>
      <c r="B19" s="120" t="s">
        <v>18</v>
      </c>
      <c r="C19" s="121"/>
      <c r="D19" s="182"/>
      <c r="E19" s="182"/>
      <c r="F19" s="120" t="s">
        <v>18</v>
      </c>
      <c r="G19" s="122"/>
      <c r="H19" s="181"/>
      <c r="I19" s="181"/>
    </row>
    <row r="20" spans="1:9" ht="21.75" thickTop="1" thickBot="1" x14ac:dyDescent="0.35">
      <c r="A20" s="181"/>
      <c r="B20" s="184"/>
      <c r="C20" s="189"/>
      <c r="D20" s="182"/>
      <c r="E20" s="182"/>
      <c r="F20" s="182"/>
      <c r="G20" s="189"/>
      <c r="H20" s="189"/>
      <c r="I20" s="181"/>
    </row>
    <row r="21" spans="1:9" ht="21" thickTop="1" x14ac:dyDescent="0.3">
      <c r="A21" s="181"/>
      <c r="B21" s="123" t="s">
        <v>19</v>
      </c>
      <c r="C21" s="167"/>
      <c r="D21" s="182"/>
      <c r="E21" s="182"/>
      <c r="F21" s="124" t="s">
        <v>20</v>
      </c>
      <c r="G21" s="143"/>
      <c r="H21" s="181"/>
      <c r="I21" s="181"/>
    </row>
    <row r="22" spans="1:9" ht="21" thickBot="1" x14ac:dyDescent="0.35">
      <c r="A22" s="181"/>
      <c r="B22" s="125" t="s">
        <v>21</v>
      </c>
      <c r="C22" s="136"/>
      <c r="D22" s="182"/>
      <c r="E22" s="182"/>
      <c r="F22" s="126" t="s">
        <v>22</v>
      </c>
      <c r="G22" s="122"/>
      <c r="H22" s="181"/>
      <c r="I22" s="181"/>
    </row>
    <row r="23" spans="1:9" ht="21" thickBot="1" x14ac:dyDescent="0.35">
      <c r="A23" s="181"/>
      <c r="B23" s="184"/>
      <c r="C23" s="189"/>
      <c r="D23" s="182"/>
      <c r="E23" s="182"/>
      <c r="F23" s="191"/>
      <c r="G23" s="190"/>
      <c r="H23" s="190"/>
      <c r="I23" s="181"/>
    </row>
    <row r="24" spans="1:9" ht="21" thickTop="1" x14ac:dyDescent="0.3">
      <c r="A24" s="181"/>
      <c r="B24" s="114" t="s">
        <v>24</v>
      </c>
      <c r="C24" s="115"/>
      <c r="D24" s="182"/>
      <c r="E24" s="182"/>
      <c r="F24" s="160" t="s">
        <v>600</v>
      </c>
      <c r="G24" s="163" t="s">
        <v>599</v>
      </c>
      <c r="H24" s="162" t="s">
        <v>626</v>
      </c>
      <c r="I24" s="181"/>
    </row>
    <row r="25" spans="1:9" ht="20.25" x14ac:dyDescent="0.3">
      <c r="A25" s="181"/>
      <c r="B25" s="118" t="s">
        <v>26</v>
      </c>
      <c r="C25" s="137"/>
      <c r="D25" s="182"/>
      <c r="E25" s="182"/>
      <c r="F25" s="181"/>
      <c r="G25" s="181"/>
      <c r="H25" s="181"/>
      <c r="I25" s="181"/>
    </row>
    <row r="26" spans="1:9" ht="21.75" customHeight="1" x14ac:dyDescent="0.3">
      <c r="A26" s="181"/>
      <c r="B26" s="118" t="s">
        <v>27</v>
      </c>
      <c r="C26" s="137"/>
      <c r="D26" s="182"/>
      <c r="E26" s="182"/>
      <c r="F26" s="181"/>
      <c r="G26" s="181"/>
      <c r="H26" s="181"/>
      <c r="I26" s="181"/>
    </row>
    <row r="27" spans="1:9" ht="22.5" customHeight="1" x14ac:dyDescent="0.35">
      <c r="A27" s="181"/>
      <c r="B27" s="127" t="s">
        <v>29</v>
      </c>
      <c r="C27" s="128"/>
      <c r="D27" s="182"/>
      <c r="E27" s="182"/>
      <c r="F27" s="181"/>
      <c r="G27" s="181"/>
      <c r="H27" s="186"/>
      <c r="I27" s="181"/>
    </row>
    <row r="28" spans="1:9" ht="20.25" x14ac:dyDescent="0.3">
      <c r="A28" s="181"/>
      <c r="B28" s="127" t="s">
        <v>30</v>
      </c>
      <c r="C28" s="129"/>
      <c r="D28" s="182"/>
      <c r="E28" s="182"/>
      <c r="F28" s="181"/>
      <c r="G28" s="181"/>
      <c r="H28" s="181"/>
      <c r="I28" s="181"/>
    </row>
    <row r="29" spans="1:9" ht="20.25" x14ac:dyDescent="0.3">
      <c r="A29" s="181"/>
      <c r="B29" s="118" t="s">
        <v>31</v>
      </c>
      <c r="C29" s="172"/>
      <c r="D29" s="184" t="s">
        <v>32</v>
      </c>
      <c r="E29" s="182"/>
      <c r="F29" s="181"/>
      <c r="G29" s="181"/>
      <c r="H29" s="181"/>
      <c r="I29" s="181"/>
    </row>
    <row r="30" spans="1:9" ht="20.25" x14ac:dyDescent="0.3">
      <c r="A30" s="181"/>
      <c r="B30" s="118" t="s">
        <v>556</v>
      </c>
      <c r="C30" s="138"/>
      <c r="D30" s="184" t="s">
        <v>34</v>
      </c>
      <c r="E30" s="182"/>
      <c r="F30" s="181"/>
      <c r="G30" s="181"/>
      <c r="H30" s="181"/>
      <c r="I30" s="181"/>
    </row>
    <row r="31" spans="1:9" ht="20.25" x14ac:dyDescent="0.3">
      <c r="A31" s="181"/>
      <c r="B31" s="118" t="s">
        <v>553</v>
      </c>
      <c r="C31" s="138"/>
      <c r="D31" s="184" t="s">
        <v>34</v>
      </c>
      <c r="E31" s="184"/>
      <c r="F31" s="181"/>
      <c r="G31" s="181"/>
      <c r="H31" s="181"/>
      <c r="I31" s="181"/>
    </row>
    <row r="32" spans="1:9" ht="20.25" x14ac:dyDescent="0.3">
      <c r="A32" s="181"/>
      <c r="B32" s="118" t="s">
        <v>554</v>
      </c>
      <c r="C32" s="138"/>
      <c r="D32" s="184" t="s">
        <v>34</v>
      </c>
      <c r="E32" s="182"/>
      <c r="F32" s="181"/>
      <c r="G32" s="181"/>
      <c r="H32" s="181"/>
      <c r="I32" s="181"/>
    </row>
    <row r="33" spans="1:9" ht="20.25" x14ac:dyDescent="0.3">
      <c r="A33" s="181"/>
      <c r="B33" s="118" t="s">
        <v>555</v>
      </c>
      <c r="C33" s="138"/>
      <c r="D33" s="184" t="s">
        <v>34</v>
      </c>
      <c r="E33" s="182"/>
      <c r="F33" s="181"/>
      <c r="G33" s="181"/>
      <c r="H33" s="181"/>
      <c r="I33" s="181"/>
    </row>
    <row r="34" spans="1:9" ht="20.25" x14ac:dyDescent="0.3">
      <c r="A34" s="181"/>
      <c r="B34" s="130" t="s">
        <v>35</v>
      </c>
      <c r="C34" s="138"/>
      <c r="D34" s="184" t="s">
        <v>36</v>
      </c>
      <c r="E34" s="182"/>
      <c r="F34" s="181"/>
      <c r="G34" s="181"/>
      <c r="H34" s="181"/>
      <c r="I34" s="181"/>
    </row>
    <row r="35" spans="1:9" ht="20.25" x14ac:dyDescent="0.3">
      <c r="A35" s="181"/>
      <c r="B35" s="130" t="s">
        <v>37</v>
      </c>
      <c r="C35" s="139"/>
      <c r="D35" s="184" t="s">
        <v>38</v>
      </c>
      <c r="E35" s="185"/>
      <c r="F35" s="187"/>
      <c r="G35" s="187"/>
      <c r="H35" s="187"/>
      <c r="I35" s="181"/>
    </row>
    <row r="36" spans="1:9" ht="21" thickBot="1" x14ac:dyDescent="0.35">
      <c r="A36" s="181"/>
      <c r="B36" s="118" t="s">
        <v>39</v>
      </c>
      <c r="C36" s="138"/>
      <c r="D36" s="182" t="s">
        <v>40</v>
      </c>
      <c r="E36" s="182"/>
      <c r="F36" s="188"/>
      <c r="G36" s="185"/>
      <c r="H36" s="185"/>
      <c r="I36" s="181"/>
    </row>
    <row r="37" spans="1:9" ht="21.75" thickTop="1" thickBot="1" x14ac:dyDescent="0.35">
      <c r="A37" s="181"/>
      <c r="B37" s="118" t="s">
        <v>41</v>
      </c>
      <c r="C37" s="140"/>
      <c r="D37" s="182" t="s">
        <v>42</v>
      </c>
      <c r="E37" s="182"/>
      <c r="F37" s="144" t="s">
        <v>45</v>
      </c>
      <c r="G37" s="145"/>
      <c r="H37" s="173" t="s">
        <v>46</v>
      </c>
      <c r="I37" s="181"/>
    </row>
    <row r="38" spans="1:9" ht="21.75" thickTop="1" thickBot="1" x14ac:dyDescent="0.35">
      <c r="A38" s="181"/>
      <c r="B38" s="120" t="s">
        <v>43</v>
      </c>
      <c r="C38" s="166"/>
      <c r="D38" s="182" t="s">
        <v>44</v>
      </c>
      <c r="E38" s="182"/>
      <c r="F38" s="192" t="s">
        <v>47</v>
      </c>
      <c r="G38" s="182"/>
      <c r="H38" s="182"/>
      <c r="I38" s="181"/>
    </row>
    <row r="39" spans="1:9" ht="21" thickTop="1" x14ac:dyDescent="0.3">
      <c r="A39" s="181"/>
      <c r="B39" s="182"/>
      <c r="C39" s="183"/>
      <c r="D39" s="182"/>
      <c r="E39" s="182"/>
      <c r="F39" s="182"/>
      <c r="G39" s="182"/>
      <c r="H39" s="182"/>
      <c r="I39" s="181"/>
    </row>
    <row r="40" spans="1:9" ht="20.25" x14ac:dyDescent="0.3">
      <c r="A40" s="181"/>
      <c r="B40" s="182"/>
      <c r="C40" s="183"/>
      <c r="D40" s="182"/>
      <c r="E40" s="182"/>
      <c r="F40" s="182"/>
      <c r="G40" s="182"/>
      <c r="H40" s="182"/>
      <c r="I40" s="181"/>
    </row>
    <row r="41" spans="1:9" ht="20.25" x14ac:dyDescent="0.3">
      <c r="D41" s="111"/>
    </row>
  </sheetData>
  <dataConsolidate/>
  <mergeCells count="1">
    <mergeCell ref="B2:C3"/>
  </mergeCells>
  <dataValidations xWindow="1571" yWindow="254" count="18">
    <dataValidation type="whole" operator="greaterThan" allowBlank="1" showInputMessage="1" showErrorMessage="1" errorTitle="Falscheingabe" error="Hier bitte NUR Ihre Werbernummer eintragen!" sqref="C26">
      <formula1>0</formula1>
    </dataValidation>
    <dataValidation type="whole" operator="notEqual" allowBlank="1" showInputMessage="1" showErrorMessage="1" errorTitle="Falscheingabe" error="Es dürfen nur Ganze Zahlen eigegeben werden!" sqref="C25">
      <formula1>9999999999</formula1>
    </dataValidation>
    <dataValidation type="date" allowBlank="1" showInputMessage="1" showErrorMessage="1" errorTitle="Falscheingabe" error="Es darf nur ein Datum eigegeben werden!_x000a_Format: TT.MM.JJJJ" promptTitle="Datum" prompt="Bitte das Datum im Format: TT.MM.JJJJ eingeben." sqref="C29">
      <formula1>44927</formula1>
      <formula2>47848</formula2>
    </dataValidation>
    <dataValidation type="decimal" operator="greaterThan" allowBlank="1" showInputMessage="1" showErrorMessage="1" errorTitle="Falscheingabe" error="Es dürfen nur Dezimalzahlen ohne Einheit eingegeben werden!" promptTitle="ha bei PN-Preis/ha" prompt="Tragen Sie die gesamt beprobte Fläche ohne Angabe einer Einheit ein." sqref="C35">
      <formula1>0</formula1>
    </dataValidation>
    <dataValidation type="decimal" operator="greaterThan" allowBlank="1" showInputMessage="1" showErrorMessage="1" errorTitle="Falscheingabe" error="Es dürfen nur Dezimalzahlen ohne Einheiten eigegeben werden!" sqref="C39:C40">
      <formula1>0</formula1>
    </dataValidation>
    <dataValidation type="decimal" operator="greaterThanOrEqual" allowBlank="1" showInputMessage="1" showErrorMessage="1" errorTitle="Falscheingabe" error="Es dürfen nur Dezimalzahlen ohne Einheit eingegeben werden!" promptTitle="Probenahmepreis" prompt="Bitte geben Sie den Probenahmepreis in €/Probe ohne MwSt an._x000a_Tragen Sie nur den Betrag ein ohne Angabe einer Einheit._x000a_" sqref="C30:C33">
      <formula1>0</formula1>
    </dataValidation>
    <dataValidation allowBlank="1" showInputMessage="1" showErrorMessage="1" promptTitle="Kundennummer Aufraggeber" prompt="Falls Sie für den Auftraggeber eine Kundennummer vergeben haben tragen Sie diese bitte ein. Diese wird dann auf der Rechnung mit ausgegeben." sqref="C8:C9"/>
    <dataValidation allowBlank="1" showInputMessage="1" showErrorMessage="1" promptTitle="PLZ" prompt="Deutsche Postleitzahlen bitte ohne &quot;D&quot; oder ähnliche Vorzeichen eingeben." sqref="C13"/>
    <dataValidation type="decimal" operator="greaterThan" allowBlank="1" showInputMessage="1" showErrorMessage="1" errorTitle="Falscheingabe" error="Es dürfen nur Dezimalzahlen ohne Einheit eingegeben werden!" promptTitle="Probenahmepreis in €/ha" prompt="Bitte geben Sie hier den Probenahmepreis in €/ha falls Sie diese Abrechnung vereinbart haben.Bitte tragen Sie nur den Betrag ein ohne Angabe einer Einheit." sqref="C34">
      <formula1>0</formula1>
    </dataValidation>
    <dataValidation type="decimal" operator="greaterThan" allowBlank="1" showInputMessage="1" showErrorMessage="1" errorTitle="Falscheingabe" error="Es dürfen nur Dezimalzahlen ohne Einheiten eigegeben werden!" promptTitle="Fahrtkosten Pauschal" prompt="Hier tragen Sie ein wenn Sie einen festen Betrag für den gesamten Auftrag vereinbart haben. Ohne Angabe einer Einheit_x000a_" sqref="C36">
      <formula1>0</formula1>
    </dataValidation>
    <dataValidation type="decimal" operator="greaterThan" allowBlank="1" showInputMessage="1" showErrorMessage="1" errorTitle="Falscheingabe" error="Es dürfen nur Dezimalzahlen ohne Einheiten eigegeben werden!" promptTitle="Fahrtkosten / km" prompt="Bitte tragen Sie hier die vereinbarten Fahrkosten je km ohne Einheit ein." sqref="C37">
      <formula1>0</formula1>
    </dataValidation>
    <dataValidation type="decimal" operator="greaterThan" allowBlank="1" showInputMessage="1" showErrorMessage="1" errorTitle="Falscheingabe" error="Es dürfen nur Dezimalzahlen ohne Einheiten eigegeben werden!" promptTitle="gefahrene km" prompt="Tragen Sie hier die für diesen Auftrtag zurückgelegten Kilometer on Angabe der Einheit ein." sqref="C38">
      <formula1>0</formula1>
    </dataValidation>
    <dataValidation type="decimal" operator="greaterThan" allowBlank="1" showInputMessage="1" showErrorMessage="1" promptTitle="Kd.Nr Agrolab" prompt="Tagen Sie die Kundennummer des Rechnungsnehmers bei Agrolab ein." sqref="G8">
      <formula1>0</formula1>
    </dataValidation>
    <dataValidation type="decimal" operator="greaterThanOrEqual" allowBlank="1" showInputMessage="1" showErrorMessage="1" promptTitle="Kd.Nr Auftraggeber" prompt="Falls Sie Ihrem Auftraggeber eine Kundennummer zugeordnet haben können Sie diese heier eintragen." sqref="G9">
      <formula1>0</formula1>
    </dataValidation>
    <dataValidation allowBlank="1" showInputMessage="1" showErrorMessage="1" promptTitle="Auftragsname" prompt="HIer könenn Sie Ihren oder den Auftragsnamen des Auftraggebers eintragen. Dieser wird auf Befund und Rechnung mit ausgegeben. " sqref="G21"/>
    <dataValidation type="whole" operator="greaterThan" allowBlank="1" showInputMessage="1" showErrorMessage="1" promptTitle="Projektnummer Agrolab" prompt="Falls im Untersuchenden Labor eine Projektmummer angelegt wurde muss diese hier eingetragen werden. " sqref="G22">
      <formula1>0</formula1>
    </dataValidation>
    <dataValidation allowBlank="1" showInputMessage="1" showErrorMessage="1" promptTitle="Tracking ID Paketdienst" prompt="Zur eigenen Information." sqref="G3"/>
    <dataValidation type="list" allowBlank="1" showInputMessage="1" showErrorMessage="1" errorTitle="FEHLENDE EINGABE" error="Bitte geben Sie den Typ der Nmin Untersuchung ein (s. Auswahlliste)" promptTitle="Pflichtfeld aus Drop-Down" prompt="Typ der Nmin-bestellung" sqref="G24">
      <formula1>Typ_Nmin</formula1>
    </dataValidation>
  </dataValidations>
  <hyperlinks>
    <hyperlink ref="F37" r:id="rId1"/>
  </hyperlinks>
  <pageMargins left="0.23622047244094491" right="0.23622047244094491" top="0.74803149606299213" bottom="0.74803149606299213" header="0.31496062992125984" footer="0.31496062992125984"/>
  <pageSetup paperSize="9" scale="62" orientation="landscape" useFirstPageNumber="1" r:id="rId2"/>
  <headerFooter>
    <oddHeader>&amp;L&amp;F - &amp;D</oddHeader>
  </headerFooter>
  <drawing r:id="rId3"/>
  <legacyDrawing r:id="rId4"/>
  <controls>
    <mc:AlternateContent xmlns:mc="http://schemas.openxmlformats.org/markup-compatibility/2006">
      <mc:Choice Requires="x14">
        <control shapeId="8229" r:id="rId5" name="NminTyp">
          <controlPr defaultSize="0" autoLine="0" linkedCell="G24" listFillRange="Typ_Nmin" r:id="rId6">
            <anchor moveWithCells="1" sizeWithCells="1">
              <from>
                <xdr:col>5</xdr:col>
                <xdr:colOff>2009775</xdr:colOff>
                <xdr:row>22</xdr:row>
                <xdr:rowOff>257175</xdr:rowOff>
              </from>
              <to>
                <xdr:col>6</xdr:col>
                <xdr:colOff>2085975</xdr:colOff>
                <xdr:row>24</xdr:row>
                <xdr:rowOff>19050</xdr:rowOff>
              </to>
            </anchor>
          </controlPr>
        </control>
      </mc:Choice>
      <mc:Fallback>
        <control shapeId="8229" r:id="rId5" name="NminTyp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571" yWindow="254" count="2">
        <x14:dataValidation type="list" showInputMessage="1" showErrorMessage="1" errorTitle="Falscheingabe" error="mögliche Eingaben sin:_x000a__x000a_Sarstedt_x000a_Leinefelde" promptTitle="Laborauswahl" prompt="Bitte wählen Sie den Laborstandort aus.">
          <x14:formula1>
            <xm:f>Hilfstabellen!$A$19:$A$20</xm:f>
          </x14:formula1>
          <xm:sqref>C5</xm:sqref>
        </x14:dataValidation>
        <x14:dataValidation type="list" allowBlank="1" showInputMessage="1" showErrorMessage="1" promptTitle="AGB akzeptieren" prompt="https://www.agrolab.com/de/agb.html">
          <x14:formula1>
            <xm:f>Hilfstabellen!$F$13</xm:f>
          </x14:formula1>
          <xm:sqref>H37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tabColor rgb="FFFFFF00"/>
    <pageSetUpPr fitToPage="1"/>
  </sheetPr>
  <dimension ref="A1:BO499"/>
  <sheetViews>
    <sheetView zoomScale="70" zoomScaleNormal="70" workbookViewId="0">
      <selection activeCell="A9" sqref="A9"/>
    </sheetView>
  </sheetViews>
  <sheetFormatPr baseColWidth="10" defaultColWidth="11.42578125" defaultRowHeight="20.25" x14ac:dyDescent="0.25"/>
  <cols>
    <col min="1" max="3" width="25.7109375" style="2" customWidth="1"/>
    <col min="4" max="4" width="13" style="2" customWidth="1"/>
    <col min="5" max="7" width="23.140625" style="213" customWidth="1"/>
    <col min="8" max="8" width="10.7109375" style="49" customWidth="1"/>
    <col min="9" max="9" width="20.7109375" style="49" hidden="1" customWidth="1"/>
    <col min="10" max="11" width="20.7109375" style="49" customWidth="1"/>
    <col min="12" max="12" width="11.42578125" style="49" customWidth="1"/>
    <col min="13" max="13" width="11.85546875" style="49" customWidth="1"/>
    <col min="14" max="15" width="10.7109375" style="49" customWidth="1"/>
    <col min="16" max="18" width="6.28515625" style="49" customWidth="1"/>
    <col min="19" max="19" width="6.5703125" style="2" customWidth="1"/>
    <col min="20" max="20" width="8.85546875" style="2" customWidth="1"/>
    <col min="21" max="24" width="9" style="2" customWidth="1"/>
    <col min="25" max="30" width="9" style="2" hidden="1" customWidth="1"/>
    <col min="31" max="36" width="5.7109375" style="2" hidden="1" customWidth="1"/>
    <col min="37" max="37" width="5.7109375" style="45" hidden="1" customWidth="1"/>
    <col min="38" max="41" width="11.42578125" style="2" hidden="1" customWidth="1"/>
    <col min="42" max="42" width="0" style="2" hidden="1" customWidth="1"/>
    <col min="43" max="16384" width="11.42578125" style="2"/>
  </cols>
  <sheetData>
    <row r="1" spans="1:67" s="3" customFormat="1" x14ac:dyDescent="0.25">
      <c r="A1" s="148"/>
      <c r="B1" s="148"/>
      <c r="C1" s="193"/>
      <c r="D1" s="193"/>
      <c r="E1" s="195" t="s">
        <v>1</v>
      </c>
      <c r="F1" s="195"/>
      <c r="G1" s="195"/>
      <c r="H1" s="148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7"/>
      <c r="AM1" s="148"/>
      <c r="AN1" s="148"/>
      <c r="AO1" s="148"/>
      <c r="AP1" s="148"/>
      <c r="AQ1" s="148"/>
    </row>
    <row r="2" spans="1:67" s="3" customFormat="1" ht="18" x14ac:dyDescent="0.25">
      <c r="A2" s="197">
        <v>306090</v>
      </c>
      <c r="B2" s="197">
        <v>306090</v>
      </c>
      <c r="C2" s="197">
        <v>306090</v>
      </c>
      <c r="D2" s="197">
        <v>306090</v>
      </c>
      <c r="E2" s="210">
        <v>306090</v>
      </c>
      <c r="F2" s="210">
        <v>306090</v>
      </c>
      <c r="G2" s="210">
        <v>306090</v>
      </c>
      <c r="H2" s="197">
        <v>306090</v>
      </c>
      <c r="I2" s="197">
        <v>306090</v>
      </c>
      <c r="J2" s="197">
        <v>306090</v>
      </c>
      <c r="K2" s="197">
        <v>306090</v>
      </c>
      <c r="L2" s="197">
        <v>306090</v>
      </c>
      <c r="M2" s="197">
        <v>306090</v>
      </c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 t="s">
        <v>570</v>
      </c>
      <c r="AG2" s="197" t="s">
        <v>570</v>
      </c>
      <c r="AH2" s="197" t="s">
        <v>570</v>
      </c>
      <c r="AI2" s="197" t="s">
        <v>570</v>
      </c>
      <c r="AJ2" s="197" t="s">
        <v>570</v>
      </c>
      <c r="AK2" s="197" t="s">
        <v>570</v>
      </c>
      <c r="AL2" s="197" t="s">
        <v>570</v>
      </c>
      <c r="AM2" s="197" t="s">
        <v>570</v>
      </c>
      <c r="AN2" s="197" t="s">
        <v>570</v>
      </c>
      <c r="AO2" s="148"/>
      <c r="AP2" s="148"/>
      <c r="AQ2" s="148"/>
    </row>
    <row r="3" spans="1:67" s="3" customFormat="1" ht="24" customHeight="1" x14ac:dyDescent="0.25">
      <c r="A3" s="148"/>
      <c r="B3" s="148"/>
      <c r="C3" s="198"/>
      <c r="D3" s="199"/>
      <c r="E3" s="211" t="str">
        <f>Auftragsdaten!C8&amp;", "&amp;Auftragsdaten!C10&amp;", "&amp;Auftragsdaten!C13&amp;", "&amp;Auftragsdaten!C14&amp;", "&amp;Auftragsdaten!B27&amp;": "&amp;Auftragsdaten!C27&amp;", "&amp;Auftragsdaten!F22&amp;": "&amp;Auftragsdaten!G22</f>
        <v xml:space="preserve">, , , , PN Auftragsnr.: , Projektnr. Agrolab: </v>
      </c>
      <c r="F3" s="211"/>
      <c r="G3" s="211"/>
      <c r="H3" s="198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7"/>
      <c r="AM3" s="148"/>
      <c r="AN3" s="148"/>
      <c r="AO3" s="148"/>
      <c r="AP3" s="148"/>
      <c r="AQ3" s="148"/>
    </row>
    <row r="4" spans="1:67" ht="35.25" x14ac:dyDescent="0.25">
      <c r="A4" s="194"/>
      <c r="B4" s="194"/>
      <c r="C4" s="194"/>
      <c r="D4" s="194"/>
      <c r="E4" s="214"/>
      <c r="F4" s="214"/>
      <c r="G4" s="214"/>
      <c r="H4" s="200"/>
      <c r="I4" s="200"/>
      <c r="J4" s="200"/>
      <c r="K4" s="200"/>
      <c r="L4" s="201"/>
      <c r="M4" s="200"/>
      <c r="N4" s="200"/>
      <c r="O4" s="200"/>
      <c r="P4" s="200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202"/>
      <c r="AJ4" s="194"/>
      <c r="AK4" s="194"/>
      <c r="AL4" s="194"/>
      <c r="AM4" s="194"/>
      <c r="AN4" s="194"/>
      <c r="AO4" s="194"/>
      <c r="AP4" s="194"/>
      <c r="AQ4" s="194"/>
      <c r="BO4" s="49"/>
    </row>
    <row r="5" spans="1:67" s="3" customFormat="1" ht="18.75" thickBot="1" x14ac:dyDescent="0.3">
      <c r="A5" s="148"/>
      <c r="B5" s="148"/>
      <c r="C5" s="148"/>
      <c r="D5" s="152" t="s">
        <v>48</v>
      </c>
      <c r="E5" s="212"/>
      <c r="F5" s="212"/>
      <c r="G5" s="212"/>
      <c r="H5" s="150"/>
      <c r="I5" s="150"/>
      <c r="J5" s="150"/>
      <c r="K5" s="150"/>
      <c r="L5" s="150"/>
      <c r="M5" s="150"/>
      <c r="N5" s="150"/>
      <c r="O5" s="150"/>
      <c r="P5" s="150"/>
      <c r="Q5" s="149" t="s">
        <v>49</v>
      </c>
      <c r="R5" s="149"/>
      <c r="S5" s="149"/>
      <c r="T5" s="149"/>
      <c r="U5" s="149"/>
      <c r="V5" s="151" t="s">
        <v>50</v>
      </c>
      <c r="W5" s="151"/>
      <c r="X5" s="151"/>
      <c r="Y5" s="151"/>
      <c r="Z5" s="151"/>
      <c r="AA5" s="146"/>
      <c r="AB5" s="146"/>
      <c r="AC5" s="146"/>
      <c r="AD5" s="146"/>
      <c r="AE5" s="146"/>
      <c r="AF5" s="146"/>
      <c r="AG5" s="146"/>
      <c r="AH5" s="146"/>
      <c r="AI5" s="146"/>
      <c r="AJ5" s="146"/>
      <c r="AK5" s="146"/>
      <c r="AL5" s="147"/>
      <c r="AM5" s="148"/>
      <c r="AN5" s="148"/>
      <c r="AO5" s="153"/>
      <c r="AP5" s="153"/>
      <c r="AQ5" s="148"/>
    </row>
    <row r="6" spans="1:67" s="3" customFormat="1" ht="123.75" customHeight="1" thickTop="1" x14ac:dyDescent="0.25">
      <c r="A6" s="9" t="s">
        <v>51</v>
      </c>
      <c r="B6" s="8" t="s">
        <v>52</v>
      </c>
      <c r="C6" s="7" t="s">
        <v>53</v>
      </c>
      <c r="D6" s="74" t="s">
        <v>658</v>
      </c>
      <c r="E6" s="177" t="s">
        <v>609</v>
      </c>
      <c r="F6" s="177" t="s">
        <v>610</v>
      </c>
      <c r="G6" s="177" t="s">
        <v>611</v>
      </c>
      <c r="H6" s="4" t="s">
        <v>56</v>
      </c>
      <c r="I6" s="5" t="s">
        <v>57</v>
      </c>
      <c r="J6" s="5" t="s">
        <v>656</v>
      </c>
      <c r="K6" s="5" t="s">
        <v>657</v>
      </c>
      <c r="L6" s="5" t="s">
        <v>60</v>
      </c>
      <c r="M6" s="5" t="s">
        <v>61</v>
      </c>
      <c r="N6" s="103" t="s">
        <v>62</v>
      </c>
      <c r="O6" s="103" t="s">
        <v>63</v>
      </c>
      <c r="P6" s="104" t="s">
        <v>64</v>
      </c>
      <c r="Q6" s="105" t="s">
        <v>65</v>
      </c>
      <c r="R6" s="105" t="s">
        <v>66</v>
      </c>
      <c r="S6" s="105" t="s">
        <v>588</v>
      </c>
      <c r="T6" s="105" t="s">
        <v>589</v>
      </c>
      <c r="U6" s="105" t="s">
        <v>558</v>
      </c>
      <c r="V6" s="178" t="s">
        <v>362</v>
      </c>
      <c r="W6" s="178" t="s">
        <v>614</v>
      </c>
      <c r="X6" s="178" t="s">
        <v>615</v>
      </c>
      <c r="Y6" s="179" t="s">
        <v>616</v>
      </c>
      <c r="Z6" s="179" t="s">
        <v>617</v>
      </c>
      <c r="AA6" s="179" t="s">
        <v>618</v>
      </c>
      <c r="AB6" s="179" t="s">
        <v>363</v>
      </c>
      <c r="AC6" s="179" t="s">
        <v>364</v>
      </c>
      <c r="AD6" s="179" t="s">
        <v>365</v>
      </c>
      <c r="AE6" s="179" t="s">
        <v>366</v>
      </c>
      <c r="AF6" s="106" t="s">
        <v>67</v>
      </c>
      <c r="AG6" s="106" t="s">
        <v>68</v>
      </c>
      <c r="AH6" s="106" t="s">
        <v>69</v>
      </c>
      <c r="AI6" s="106" t="s">
        <v>70</v>
      </c>
      <c r="AJ6" s="106" t="s">
        <v>71</v>
      </c>
      <c r="AK6" s="106" t="s">
        <v>72</v>
      </c>
      <c r="AL6" s="106" t="s">
        <v>73</v>
      </c>
      <c r="AM6" s="106" t="s">
        <v>74</v>
      </c>
      <c r="AN6" s="106" t="s">
        <v>75</v>
      </c>
      <c r="AO6" s="107" t="s">
        <v>76</v>
      </c>
      <c r="AP6" s="108" t="s">
        <v>561</v>
      </c>
      <c r="AQ6" s="148"/>
    </row>
    <row r="7" spans="1:67" s="3" customFormat="1" ht="15.75" customHeight="1" thickBot="1" x14ac:dyDescent="0.3">
      <c r="A7" s="225" t="s">
        <v>78</v>
      </c>
      <c r="B7" s="225" t="s">
        <v>79</v>
      </c>
      <c r="C7" s="226" t="s">
        <v>80</v>
      </c>
      <c r="D7" s="227" t="s">
        <v>54</v>
      </c>
      <c r="E7" s="218" t="s">
        <v>55</v>
      </c>
      <c r="F7" s="218" t="s">
        <v>613</v>
      </c>
      <c r="G7" s="218" t="s">
        <v>612</v>
      </c>
      <c r="H7" s="218" t="s">
        <v>56</v>
      </c>
      <c r="I7" s="222" t="s">
        <v>57</v>
      </c>
      <c r="J7" s="222" t="s">
        <v>58</v>
      </c>
      <c r="K7" s="222" t="s">
        <v>81</v>
      </c>
      <c r="L7" s="222" t="s">
        <v>60</v>
      </c>
      <c r="M7" s="222" t="s">
        <v>82</v>
      </c>
      <c r="N7" s="228" t="s">
        <v>586</v>
      </c>
      <c r="O7" s="228" t="s">
        <v>587</v>
      </c>
      <c r="P7" s="228" t="s">
        <v>83</v>
      </c>
      <c r="Q7" s="228" t="s">
        <v>84</v>
      </c>
      <c r="R7" s="228" t="s">
        <v>557</v>
      </c>
      <c r="S7" s="228" t="s">
        <v>572</v>
      </c>
      <c r="T7" s="228" t="s">
        <v>571</v>
      </c>
      <c r="U7" s="229" t="s">
        <v>85</v>
      </c>
      <c r="V7" s="230" t="s">
        <v>573</v>
      </c>
      <c r="W7" s="231" t="s">
        <v>574</v>
      </c>
      <c r="X7" s="231" t="s">
        <v>562</v>
      </c>
      <c r="Y7" s="10" t="s">
        <v>563</v>
      </c>
      <c r="Z7" s="10" t="s">
        <v>564</v>
      </c>
      <c r="AA7" s="10" t="s">
        <v>565</v>
      </c>
      <c r="AB7" s="10" t="s">
        <v>566</v>
      </c>
      <c r="AC7" s="10" t="s">
        <v>567</v>
      </c>
      <c r="AD7" s="10" t="s">
        <v>568</v>
      </c>
      <c r="AE7" s="10" t="s">
        <v>569</v>
      </c>
      <c r="AF7" s="10" t="s">
        <v>575</v>
      </c>
      <c r="AG7" s="10" t="s">
        <v>576</v>
      </c>
      <c r="AH7" s="10" t="s">
        <v>577</v>
      </c>
      <c r="AI7" s="10" t="s">
        <v>578</v>
      </c>
      <c r="AJ7" s="10" t="s">
        <v>579</v>
      </c>
      <c r="AK7" s="10" t="s">
        <v>580</v>
      </c>
      <c r="AL7" s="10" t="s">
        <v>581</v>
      </c>
      <c r="AM7" s="11" t="s">
        <v>582</v>
      </c>
      <c r="AN7" s="6" t="s">
        <v>583</v>
      </c>
      <c r="AO7" s="6" t="s">
        <v>584</v>
      </c>
      <c r="AP7" s="6" t="s">
        <v>585</v>
      </c>
      <c r="AQ7" s="148"/>
    </row>
    <row r="8" spans="1:67" s="1" customFormat="1" ht="36" hidden="1" customHeight="1" thickTop="1" x14ac:dyDescent="0.25">
      <c r="A8" s="209"/>
      <c r="B8" s="209"/>
      <c r="C8" s="209"/>
      <c r="D8" s="246">
        <f t="shared" ref="D8" si="0">ROW(8:8)-8</f>
        <v>0</v>
      </c>
      <c r="E8" s="219"/>
      <c r="F8" s="219"/>
      <c r="G8" s="219"/>
      <c r="H8" s="246">
        <v>0.1</v>
      </c>
      <c r="I8" s="243" t="s">
        <v>654</v>
      </c>
      <c r="J8" s="244" t="s">
        <v>651</v>
      </c>
      <c r="K8" s="244" t="s">
        <v>652</v>
      </c>
      <c r="L8" s="223"/>
      <c r="M8" s="224"/>
      <c r="N8" s="232" t="str">
        <f t="shared" ref="N8" si="1">IF(ISBLANK(E8),"","A")</f>
        <v/>
      </c>
      <c r="O8" s="233"/>
      <c r="P8" s="224"/>
      <c r="Q8" s="215"/>
      <c r="R8" s="215" t="s">
        <v>655</v>
      </c>
      <c r="S8" s="215"/>
      <c r="T8" s="215"/>
      <c r="U8" s="234"/>
      <c r="V8" s="216" t="str">
        <f>IF(ISBLANK(E8),"","x")</f>
        <v/>
      </c>
      <c r="W8" s="216"/>
      <c r="X8" s="216"/>
      <c r="Y8" s="157"/>
      <c r="Z8" s="157"/>
      <c r="AA8" s="157"/>
      <c r="AB8" s="157"/>
      <c r="AC8" s="157"/>
      <c r="AD8" s="157"/>
      <c r="AE8" s="157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203"/>
    </row>
    <row r="9" spans="1:67" ht="36" thickTop="1" x14ac:dyDescent="0.25">
      <c r="A9" s="209"/>
      <c r="B9" s="209"/>
      <c r="C9" s="209"/>
      <c r="D9" s="245"/>
      <c r="E9" s="241"/>
      <c r="F9" s="220"/>
      <c r="G9" s="220"/>
      <c r="H9" s="245"/>
      <c r="I9" s="235"/>
      <c r="J9" s="242"/>
      <c r="K9" s="242"/>
      <c r="L9" s="221"/>
      <c r="M9" s="236"/>
      <c r="N9" s="237"/>
      <c r="O9" s="221"/>
      <c r="P9" s="236"/>
      <c r="Q9" s="215"/>
      <c r="R9" s="238"/>
      <c r="S9" s="239"/>
      <c r="T9" s="239"/>
      <c r="U9" s="215"/>
      <c r="V9" s="217"/>
      <c r="W9" s="217"/>
      <c r="X9" s="21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</row>
    <row r="10" spans="1:67" ht="35.25" x14ac:dyDescent="0.25">
      <c r="H10" s="2"/>
      <c r="I10" s="2"/>
      <c r="J10" s="2"/>
      <c r="K10" s="2"/>
      <c r="L10" s="2"/>
      <c r="M10" s="75"/>
      <c r="N10" s="2"/>
      <c r="O10" s="2"/>
      <c r="P10" s="2"/>
      <c r="Q10" s="2"/>
      <c r="R10" s="2"/>
      <c r="AK10" s="2"/>
    </row>
    <row r="11" spans="1:67" ht="35.25" x14ac:dyDescent="0.25">
      <c r="H11" s="2"/>
      <c r="I11" s="2"/>
      <c r="J11" s="2"/>
      <c r="K11" s="2"/>
      <c r="L11" s="2"/>
      <c r="M11" s="75"/>
      <c r="N11" s="2"/>
      <c r="O11" s="2"/>
      <c r="P11" s="2"/>
      <c r="Q11" s="2"/>
      <c r="R11" s="2"/>
      <c r="AK11" s="2"/>
    </row>
    <row r="12" spans="1:67" ht="35.25" x14ac:dyDescent="0.25">
      <c r="H12" s="2"/>
      <c r="I12" s="2"/>
      <c r="J12" s="2"/>
      <c r="K12" s="2"/>
      <c r="L12" s="2"/>
      <c r="M12" s="75"/>
      <c r="N12" s="2"/>
      <c r="O12" s="2"/>
      <c r="P12" s="2"/>
      <c r="Q12" s="2"/>
      <c r="R12" s="2"/>
      <c r="AK12" s="2"/>
    </row>
    <row r="13" spans="1:67" ht="35.25" x14ac:dyDescent="0.25">
      <c r="H13" s="2"/>
      <c r="I13" s="2"/>
      <c r="J13" s="2"/>
      <c r="K13" s="2"/>
      <c r="L13" s="2"/>
      <c r="M13" s="75"/>
      <c r="N13" s="2"/>
      <c r="O13" s="2"/>
      <c r="P13" s="2"/>
      <c r="Q13" s="2"/>
      <c r="R13" s="2"/>
      <c r="AK13" s="2"/>
    </row>
    <row r="14" spans="1:67" ht="35.25" x14ac:dyDescent="0.25">
      <c r="H14" s="2"/>
      <c r="I14" s="2"/>
      <c r="J14" s="2"/>
      <c r="K14" s="2"/>
      <c r="L14" s="2"/>
      <c r="M14" s="75"/>
      <c r="N14" s="2"/>
      <c r="O14" s="2"/>
      <c r="P14" s="2"/>
      <c r="Q14" s="2"/>
      <c r="R14" s="2"/>
      <c r="AK14" s="2"/>
    </row>
    <row r="15" spans="1:67" ht="35.25" x14ac:dyDescent="0.25">
      <c r="H15" s="2"/>
      <c r="I15" s="2"/>
      <c r="J15" s="2"/>
      <c r="K15" s="2"/>
      <c r="L15" s="2"/>
      <c r="M15" s="75"/>
      <c r="N15" s="2"/>
      <c r="O15" s="2"/>
      <c r="P15" s="2"/>
      <c r="Q15" s="2"/>
      <c r="R15" s="2"/>
      <c r="AK15" s="2"/>
    </row>
    <row r="16" spans="1:67" ht="35.25" x14ac:dyDescent="0.25">
      <c r="H16" s="2"/>
      <c r="I16" s="2"/>
      <c r="J16" s="2"/>
      <c r="K16" s="2"/>
      <c r="L16" s="2"/>
      <c r="M16" s="75"/>
      <c r="N16" s="2"/>
      <c r="O16" s="2"/>
      <c r="P16" s="2"/>
      <c r="Q16" s="2"/>
      <c r="R16" s="2"/>
      <c r="AK16" s="2"/>
    </row>
    <row r="17" spans="8:37" ht="35.25" x14ac:dyDescent="0.25">
      <c r="H17" s="2"/>
      <c r="I17" s="2"/>
      <c r="J17" s="2"/>
      <c r="K17" s="2"/>
      <c r="L17" s="2"/>
      <c r="M17" s="75"/>
      <c r="N17" s="2"/>
      <c r="O17" s="2"/>
      <c r="P17" s="2"/>
      <c r="Q17" s="2"/>
      <c r="R17" s="2"/>
      <c r="AK17" s="2"/>
    </row>
    <row r="18" spans="8:37" ht="35.25" x14ac:dyDescent="0.25">
      <c r="H18" s="2"/>
      <c r="I18" s="2"/>
      <c r="J18" s="2"/>
      <c r="K18" s="2"/>
      <c r="L18" s="2"/>
      <c r="M18" s="75"/>
      <c r="N18" s="2"/>
      <c r="O18" s="2"/>
      <c r="P18" s="2"/>
      <c r="Q18" s="2"/>
      <c r="R18" s="2"/>
      <c r="AK18" s="2"/>
    </row>
    <row r="19" spans="8:37" ht="35.25" x14ac:dyDescent="0.25">
      <c r="H19" s="2"/>
      <c r="I19" s="2"/>
      <c r="J19" s="2"/>
      <c r="K19" s="2"/>
      <c r="L19" s="2"/>
      <c r="M19" s="75"/>
      <c r="N19" s="2"/>
      <c r="O19" s="2"/>
      <c r="P19" s="2"/>
      <c r="Q19" s="2"/>
      <c r="R19" s="2"/>
      <c r="AK19" s="2"/>
    </row>
    <row r="20" spans="8:37" ht="35.25" x14ac:dyDescent="0.25">
      <c r="H20" s="2"/>
      <c r="I20" s="2"/>
      <c r="J20" s="2"/>
      <c r="K20" s="2"/>
      <c r="L20" s="2"/>
      <c r="M20" s="75"/>
      <c r="N20" s="2"/>
      <c r="O20" s="2"/>
      <c r="P20" s="2"/>
      <c r="Q20" s="2"/>
      <c r="R20" s="2"/>
      <c r="AK20" s="2"/>
    </row>
    <row r="21" spans="8:37" ht="35.25" x14ac:dyDescent="0.25">
      <c r="H21" s="2"/>
      <c r="I21" s="2"/>
      <c r="J21" s="2"/>
      <c r="K21" s="2"/>
      <c r="L21" s="2"/>
      <c r="M21" s="75"/>
      <c r="N21" s="2"/>
      <c r="O21" s="2"/>
      <c r="P21" s="2"/>
      <c r="Q21" s="2"/>
      <c r="R21" s="2"/>
      <c r="AK21" s="2"/>
    </row>
    <row r="22" spans="8:37" ht="35.25" x14ac:dyDescent="0.25">
      <c r="H22" s="2"/>
      <c r="I22" s="2"/>
      <c r="J22" s="2"/>
      <c r="K22" s="2"/>
      <c r="L22" s="2"/>
      <c r="M22" s="75"/>
      <c r="N22" s="2"/>
      <c r="O22" s="2"/>
      <c r="P22" s="2"/>
      <c r="Q22" s="2"/>
      <c r="R22" s="2"/>
      <c r="AK22" s="2"/>
    </row>
    <row r="23" spans="8:37" ht="35.25" x14ac:dyDescent="0.25">
      <c r="H23" s="2"/>
      <c r="I23" s="2"/>
      <c r="J23" s="2"/>
      <c r="K23" s="2"/>
      <c r="L23" s="2"/>
      <c r="M23" s="75"/>
      <c r="N23" s="2"/>
      <c r="O23" s="2"/>
      <c r="P23" s="2"/>
      <c r="Q23" s="2"/>
      <c r="R23" s="2"/>
      <c r="AK23" s="2"/>
    </row>
    <row r="24" spans="8:37" ht="35.25" x14ac:dyDescent="0.25">
      <c r="H24" s="2"/>
      <c r="I24" s="2"/>
      <c r="J24" s="2"/>
      <c r="K24" s="2"/>
      <c r="L24" s="2"/>
      <c r="M24" s="75"/>
      <c r="N24" s="2"/>
      <c r="O24" s="2"/>
      <c r="P24" s="2"/>
      <c r="Q24" s="2"/>
      <c r="R24" s="2"/>
      <c r="AK24" s="2"/>
    </row>
    <row r="25" spans="8:37" ht="35.25" x14ac:dyDescent="0.25">
      <c r="H25" s="2"/>
      <c r="I25" s="2"/>
      <c r="J25" s="2"/>
      <c r="K25" s="2"/>
      <c r="L25" s="2"/>
      <c r="M25" s="75"/>
      <c r="N25" s="2"/>
      <c r="O25" s="2"/>
      <c r="P25" s="2"/>
      <c r="Q25" s="2"/>
      <c r="R25" s="2"/>
      <c r="AK25" s="2"/>
    </row>
    <row r="26" spans="8:37" ht="35.25" x14ac:dyDescent="0.25">
      <c r="H26" s="2"/>
      <c r="I26" s="2"/>
      <c r="J26" s="2"/>
      <c r="K26" s="2"/>
      <c r="L26" s="2"/>
      <c r="M26" s="75"/>
      <c r="N26" s="2"/>
      <c r="O26" s="2"/>
      <c r="P26" s="2"/>
      <c r="Q26" s="2"/>
      <c r="R26" s="2"/>
      <c r="AK26" s="2"/>
    </row>
    <row r="27" spans="8:37" ht="35.25" x14ac:dyDescent="0.25">
      <c r="H27" s="2"/>
      <c r="I27" s="2"/>
      <c r="J27" s="2"/>
      <c r="K27" s="2"/>
      <c r="L27" s="2"/>
      <c r="M27" s="75"/>
      <c r="N27" s="2"/>
      <c r="O27" s="2"/>
      <c r="P27" s="2"/>
      <c r="Q27" s="2"/>
      <c r="R27" s="2"/>
      <c r="AK27" s="2"/>
    </row>
    <row r="28" spans="8:37" ht="35.25" x14ac:dyDescent="0.25">
      <c r="H28" s="2"/>
      <c r="I28" s="2"/>
      <c r="J28" s="2"/>
      <c r="K28" s="2"/>
      <c r="L28" s="2"/>
      <c r="M28" s="75"/>
      <c r="N28" s="2"/>
      <c r="O28" s="2"/>
      <c r="P28" s="2"/>
      <c r="Q28" s="2"/>
      <c r="R28" s="2"/>
      <c r="AK28" s="2"/>
    </row>
    <row r="29" spans="8:37" ht="35.25" x14ac:dyDescent="0.25">
      <c r="H29" s="2"/>
      <c r="I29" s="2"/>
      <c r="J29" s="2"/>
      <c r="K29" s="2"/>
      <c r="L29" s="2"/>
      <c r="M29" s="75"/>
      <c r="N29" s="2"/>
      <c r="O29" s="2"/>
      <c r="P29" s="2"/>
      <c r="Q29" s="2"/>
      <c r="R29" s="2"/>
      <c r="AK29" s="2"/>
    </row>
    <row r="30" spans="8:37" ht="35.25" x14ac:dyDescent="0.25">
      <c r="H30" s="2"/>
      <c r="I30" s="2"/>
      <c r="J30" s="2"/>
      <c r="K30" s="2"/>
      <c r="L30" s="2"/>
      <c r="M30" s="75"/>
      <c r="N30" s="2"/>
      <c r="O30" s="2"/>
      <c r="P30" s="2"/>
      <c r="Q30" s="2"/>
      <c r="R30" s="2"/>
      <c r="AK30" s="2"/>
    </row>
    <row r="31" spans="8:37" ht="35.25" x14ac:dyDescent="0.25">
      <c r="H31" s="2"/>
      <c r="I31" s="2"/>
      <c r="J31" s="2"/>
      <c r="K31" s="2"/>
      <c r="L31" s="2"/>
      <c r="M31" s="75"/>
      <c r="N31" s="2"/>
      <c r="O31" s="2"/>
      <c r="P31" s="2"/>
      <c r="Q31" s="2"/>
      <c r="R31" s="2"/>
      <c r="AK31" s="2"/>
    </row>
    <row r="32" spans="8:37" ht="35.25" x14ac:dyDescent="0.25">
      <c r="H32" s="2"/>
      <c r="I32" s="2"/>
      <c r="J32" s="2"/>
      <c r="K32" s="2"/>
      <c r="L32" s="2"/>
      <c r="M32" s="75"/>
      <c r="N32" s="2"/>
      <c r="O32" s="2"/>
      <c r="P32" s="2"/>
      <c r="Q32" s="2"/>
      <c r="R32" s="2"/>
      <c r="AK32" s="2"/>
    </row>
    <row r="33" spans="8:37" ht="35.25" x14ac:dyDescent="0.25">
      <c r="H33" s="2"/>
      <c r="I33" s="2"/>
      <c r="J33" s="2"/>
      <c r="K33" s="2"/>
      <c r="L33" s="2"/>
      <c r="M33" s="75"/>
      <c r="N33" s="2"/>
      <c r="O33" s="2"/>
      <c r="P33" s="2"/>
      <c r="Q33" s="2"/>
      <c r="R33" s="2"/>
      <c r="AK33" s="2"/>
    </row>
    <row r="34" spans="8:37" ht="35.25" x14ac:dyDescent="0.25">
      <c r="H34" s="2"/>
      <c r="I34" s="2"/>
      <c r="J34" s="2"/>
      <c r="K34" s="2"/>
      <c r="L34" s="2"/>
      <c r="M34" s="75"/>
      <c r="N34" s="2"/>
      <c r="O34" s="2"/>
      <c r="P34" s="2"/>
      <c r="Q34" s="2"/>
      <c r="R34" s="2"/>
      <c r="AK34" s="2"/>
    </row>
    <row r="35" spans="8:37" ht="35.25" x14ac:dyDescent="0.25">
      <c r="H35" s="2"/>
      <c r="I35" s="2"/>
      <c r="J35" s="2"/>
      <c r="K35" s="2"/>
      <c r="L35" s="2"/>
      <c r="M35" s="75"/>
      <c r="N35" s="2"/>
      <c r="O35" s="2"/>
      <c r="P35" s="2"/>
      <c r="Q35" s="2"/>
      <c r="R35" s="2"/>
      <c r="AK35" s="2"/>
    </row>
    <row r="36" spans="8:37" ht="35.25" x14ac:dyDescent="0.25">
      <c r="H36" s="2"/>
      <c r="I36" s="2"/>
      <c r="J36" s="2"/>
      <c r="K36" s="2"/>
      <c r="L36" s="2"/>
      <c r="M36" s="75"/>
      <c r="N36" s="2"/>
      <c r="O36" s="2"/>
      <c r="P36" s="2"/>
      <c r="Q36" s="2"/>
      <c r="R36" s="2"/>
      <c r="AK36" s="2"/>
    </row>
    <row r="37" spans="8:37" ht="35.25" x14ac:dyDescent="0.25">
      <c r="H37" s="2"/>
      <c r="I37" s="2"/>
      <c r="J37" s="2"/>
      <c r="K37" s="2"/>
      <c r="L37" s="2"/>
      <c r="M37" s="75"/>
      <c r="N37" s="2"/>
      <c r="O37" s="2"/>
      <c r="P37" s="2"/>
      <c r="Q37" s="2"/>
      <c r="R37" s="2"/>
      <c r="AK37" s="2"/>
    </row>
    <row r="38" spans="8:37" ht="35.25" x14ac:dyDescent="0.25">
      <c r="H38" s="2"/>
      <c r="I38" s="2"/>
      <c r="J38" s="2"/>
      <c r="K38" s="2"/>
      <c r="L38" s="2"/>
      <c r="M38" s="75"/>
      <c r="N38" s="2"/>
      <c r="O38" s="2"/>
      <c r="P38" s="2"/>
      <c r="Q38" s="2"/>
      <c r="R38" s="2"/>
      <c r="AK38" s="2"/>
    </row>
    <row r="39" spans="8:37" ht="35.25" x14ac:dyDescent="0.25">
      <c r="H39" s="2"/>
      <c r="I39" s="2"/>
      <c r="J39" s="2"/>
      <c r="K39" s="2"/>
      <c r="L39" s="2"/>
      <c r="M39" s="75"/>
      <c r="N39" s="2"/>
      <c r="O39" s="2"/>
      <c r="P39" s="2"/>
      <c r="Q39" s="2"/>
      <c r="R39" s="2"/>
      <c r="AK39" s="2"/>
    </row>
    <row r="40" spans="8:37" ht="35.25" x14ac:dyDescent="0.25">
      <c r="H40" s="2"/>
      <c r="I40" s="2"/>
      <c r="J40" s="2"/>
      <c r="K40" s="2"/>
      <c r="L40" s="2"/>
      <c r="M40" s="75"/>
      <c r="N40" s="2"/>
      <c r="O40" s="2"/>
      <c r="P40" s="2"/>
      <c r="Q40" s="2"/>
      <c r="R40" s="2"/>
      <c r="AK40" s="2"/>
    </row>
    <row r="41" spans="8:37" ht="35.25" x14ac:dyDescent="0.25">
      <c r="H41" s="2"/>
      <c r="I41" s="2"/>
      <c r="J41" s="2"/>
      <c r="K41" s="2"/>
      <c r="L41" s="2"/>
      <c r="M41" s="75"/>
      <c r="N41" s="2"/>
      <c r="O41" s="2"/>
      <c r="P41" s="2"/>
      <c r="Q41" s="2"/>
      <c r="R41" s="2"/>
      <c r="AK41" s="2"/>
    </row>
    <row r="42" spans="8:37" ht="35.25" x14ac:dyDescent="0.25">
      <c r="H42" s="2"/>
      <c r="I42" s="2"/>
      <c r="J42" s="2"/>
      <c r="K42" s="2"/>
      <c r="L42" s="2"/>
      <c r="M42" s="75"/>
      <c r="N42" s="2"/>
      <c r="O42" s="2"/>
      <c r="P42" s="2"/>
      <c r="Q42" s="2"/>
      <c r="R42" s="2"/>
      <c r="AK42" s="2"/>
    </row>
    <row r="43" spans="8:37" ht="35.25" x14ac:dyDescent="0.25">
      <c r="H43" s="2"/>
      <c r="I43" s="2"/>
      <c r="J43" s="2"/>
      <c r="K43" s="2"/>
      <c r="L43" s="2"/>
      <c r="M43" s="75"/>
      <c r="N43" s="2"/>
      <c r="O43" s="2"/>
      <c r="P43" s="2"/>
      <c r="Q43" s="2"/>
      <c r="R43" s="2"/>
      <c r="AK43" s="2"/>
    </row>
    <row r="44" spans="8:37" ht="35.25" x14ac:dyDescent="0.25">
      <c r="H44" s="2"/>
      <c r="I44" s="2"/>
      <c r="J44" s="2"/>
      <c r="K44" s="2"/>
      <c r="L44" s="2"/>
      <c r="M44" s="75"/>
      <c r="N44" s="2"/>
      <c r="O44" s="2"/>
      <c r="P44" s="2"/>
      <c r="Q44" s="2"/>
      <c r="R44" s="2"/>
      <c r="AK44" s="2"/>
    </row>
    <row r="45" spans="8:37" ht="35.25" x14ac:dyDescent="0.25">
      <c r="H45" s="2"/>
      <c r="I45" s="2"/>
      <c r="J45" s="2"/>
      <c r="K45" s="2"/>
      <c r="L45" s="2"/>
      <c r="M45" s="75"/>
      <c r="N45" s="2"/>
      <c r="O45" s="2"/>
      <c r="P45" s="2"/>
      <c r="Q45" s="2"/>
      <c r="R45" s="2"/>
      <c r="AK45" s="2"/>
    </row>
    <row r="46" spans="8:37" ht="35.25" x14ac:dyDescent="0.25">
      <c r="H46" s="2"/>
      <c r="I46" s="2"/>
      <c r="J46" s="2"/>
      <c r="K46" s="2"/>
      <c r="L46" s="2"/>
      <c r="M46" s="75"/>
      <c r="N46" s="2"/>
      <c r="O46" s="2"/>
      <c r="P46" s="2"/>
      <c r="Q46" s="2"/>
      <c r="R46" s="2"/>
      <c r="AK46" s="2"/>
    </row>
    <row r="47" spans="8:37" ht="35.25" x14ac:dyDescent="0.25">
      <c r="H47" s="2"/>
      <c r="I47" s="2"/>
      <c r="J47" s="2"/>
      <c r="K47" s="2"/>
      <c r="L47" s="2"/>
      <c r="M47" s="75"/>
      <c r="N47" s="2"/>
      <c r="O47" s="2"/>
      <c r="P47" s="2"/>
      <c r="Q47" s="2"/>
      <c r="R47" s="2"/>
      <c r="AK47" s="2"/>
    </row>
    <row r="48" spans="8:37" ht="35.25" x14ac:dyDescent="0.25">
      <c r="H48" s="2"/>
      <c r="I48" s="2"/>
      <c r="J48" s="2"/>
      <c r="K48" s="2"/>
      <c r="L48" s="2"/>
      <c r="M48" s="75"/>
      <c r="N48" s="2"/>
      <c r="O48" s="2"/>
      <c r="P48" s="2"/>
      <c r="Q48" s="2"/>
      <c r="R48" s="2"/>
      <c r="AK48" s="2"/>
    </row>
    <row r="49" spans="8:37" ht="35.25" x14ac:dyDescent="0.25">
      <c r="H49" s="2"/>
      <c r="I49" s="2"/>
      <c r="J49" s="2"/>
      <c r="K49" s="2"/>
      <c r="L49" s="2"/>
      <c r="M49" s="75"/>
      <c r="N49" s="2"/>
      <c r="O49" s="2"/>
      <c r="P49" s="2"/>
      <c r="Q49" s="2"/>
      <c r="R49" s="2"/>
      <c r="AK49" s="2"/>
    </row>
    <row r="50" spans="8:37" ht="35.25" x14ac:dyDescent="0.25">
      <c r="H50" s="2"/>
      <c r="I50" s="2"/>
      <c r="J50" s="2"/>
      <c r="K50" s="2"/>
      <c r="L50" s="2"/>
      <c r="M50" s="75"/>
      <c r="N50" s="2"/>
      <c r="O50" s="2"/>
      <c r="P50" s="2"/>
      <c r="Q50" s="2"/>
      <c r="R50" s="2"/>
      <c r="AK50" s="2"/>
    </row>
    <row r="51" spans="8:37" ht="35.25" x14ac:dyDescent="0.25">
      <c r="H51" s="2"/>
      <c r="I51" s="2"/>
      <c r="J51" s="2"/>
      <c r="K51" s="2"/>
      <c r="L51" s="2"/>
      <c r="M51" s="75"/>
      <c r="N51" s="2"/>
      <c r="O51" s="2"/>
      <c r="P51" s="2"/>
      <c r="Q51" s="2"/>
      <c r="R51" s="2"/>
      <c r="AK51" s="2"/>
    </row>
    <row r="52" spans="8:37" ht="35.25" x14ac:dyDescent="0.25">
      <c r="H52" s="2"/>
      <c r="I52" s="2"/>
      <c r="J52" s="2"/>
      <c r="K52" s="2"/>
      <c r="L52" s="2"/>
      <c r="M52" s="75"/>
      <c r="N52" s="2"/>
      <c r="O52" s="2"/>
      <c r="P52" s="2"/>
      <c r="Q52" s="2"/>
      <c r="R52" s="2"/>
      <c r="AK52" s="2"/>
    </row>
    <row r="53" spans="8:37" ht="35.25" x14ac:dyDescent="0.25">
      <c r="H53" s="2"/>
      <c r="I53" s="2"/>
      <c r="J53" s="2"/>
      <c r="K53" s="2"/>
      <c r="L53" s="2"/>
      <c r="M53" s="75"/>
      <c r="N53" s="2"/>
      <c r="O53" s="2"/>
      <c r="P53" s="2"/>
      <c r="Q53" s="2"/>
      <c r="R53" s="2"/>
      <c r="AK53" s="2"/>
    </row>
    <row r="54" spans="8:37" ht="35.25" x14ac:dyDescent="0.25">
      <c r="H54" s="2"/>
      <c r="I54" s="2"/>
      <c r="J54" s="2"/>
      <c r="K54" s="2"/>
      <c r="L54" s="2"/>
      <c r="M54" s="75"/>
      <c r="N54" s="2"/>
      <c r="O54" s="2"/>
      <c r="P54" s="2"/>
      <c r="Q54" s="2"/>
      <c r="R54" s="2"/>
      <c r="AK54" s="2"/>
    </row>
    <row r="55" spans="8:37" ht="35.25" x14ac:dyDescent="0.25">
      <c r="H55" s="2"/>
      <c r="I55" s="2"/>
      <c r="J55" s="2"/>
      <c r="K55" s="2"/>
      <c r="L55" s="2"/>
      <c r="M55" s="75"/>
      <c r="N55" s="2"/>
      <c r="O55" s="2"/>
      <c r="P55" s="2"/>
      <c r="Q55" s="2"/>
      <c r="R55" s="2"/>
      <c r="AK55" s="2"/>
    </row>
    <row r="56" spans="8:37" ht="35.25" x14ac:dyDescent="0.25">
      <c r="H56" s="2"/>
      <c r="I56" s="2"/>
      <c r="J56" s="2"/>
      <c r="K56" s="2"/>
      <c r="L56" s="2"/>
      <c r="M56" s="75"/>
      <c r="N56" s="2"/>
      <c r="O56" s="2"/>
      <c r="P56" s="2"/>
      <c r="Q56" s="2"/>
      <c r="R56" s="2"/>
      <c r="AK56" s="2"/>
    </row>
    <row r="57" spans="8:37" ht="35.25" x14ac:dyDescent="0.25">
      <c r="H57" s="2"/>
      <c r="I57" s="2"/>
      <c r="J57" s="2"/>
      <c r="K57" s="2"/>
      <c r="L57" s="2"/>
      <c r="M57" s="75"/>
      <c r="N57" s="2"/>
      <c r="O57" s="2"/>
      <c r="P57" s="2"/>
      <c r="Q57" s="2"/>
      <c r="R57" s="2"/>
      <c r="AK57" s="2"/>
    </row>
    <row r="58" spans="8:37" ht="35.25" x14ac:dyDescent="0.25">
      <c r="H58" s="2"/>
      <c r="I58" s="2"/>
      <c r="J58" s="2"/>
      <c r="K58" s="2"/>
      <c r="L58" s="2"/>
      <c r="M58" s="75"/>
      <c r="N58" s="2"/>
      <c r="O58" s="2"/>
      <c r="P58" s="2"/>
      <c r="Q58" s="2"/>
      <c r="R58" s="2"/>
      <c r="AK58" s="2"/>
    </row>
    <row r="59" spans="8:37" ht="35.25" x14ac:dyDescent="0.25">
      <c r="H59" s="2"/>
      <c r="I59" s="2"/>
      <c r="J59" s="2"/>
      <c r="K59" s="2"/>
      <c r="L59" s="2"/>
      <c r="M59" s="75"/>
      <c r="N59" s="2"/>
      <c r="O59" s="2"/>
      <c r="P59" s="2"/>
      <c r="Q59" s="2"/>
      <c r="R59" s="2"/>
      <c r="AK59" s="2"/>
    </row>
    <row r="60" spans="8:37" ht="35.25" x14ac:dyDescent="0.25">
      <c r="H60" s="2"/>
      <c r="I60" s="2"/>
      <c r="J60" s="2"/>
      <c r="K60" s="2"/>
      <c r="L60" s="2"/>
      <c r="M60" s="75"/>
      <c r="N60" s="2"/>
      <c r="O60" s="2"/>
      <c r="P60" s="2"/>
      <c r="Q60" s="2"/>
      <c r="R60" s="2"/>
      <c r="AK60" s="2"/>
    </row>
    <row r="61" spans="8:37" ht="35.25" x14ac:dyDescent="0.25">
      <c r="H61" s="2"/>
      <c r="I61" s="2"/>
      <c r="J61" s="2"/>
      <c r="K61" s="2"/>
      <c r="L61" s="2"/>
      <c r="M61" s="75"/>
      <c r="N61" s="2"/>
      <c r="O61" s="2"/>
      <c r="P61" s="2"/>
      <c r="Q61" s="2"/>
      <c r="R61" s="2"/>
      <c r="AK61" s="2"/>
    </row>
    <row r="62" spans="8:37" ht="35.25" x14ac:dyDescent="0.25">
      <c r="H62" s="2"/>
      <c r="I62" s="2"/>
      <c r="J62" s="2"/>
      <c r="K62" s="2"/>
      <c r="L62" s="2"/>
      <c r="M62" s="75"/>
      <c r="N62" s="2"/>
      <c r="O62" s="2"/>
      <c r="P62" s="2"/>
      <c r="Q62" s="2"/>
      <c r="R62" s="2"/>
      <c r="AK62" s="2"/>
    </row>
    <row r="63" spans="8:37" ht="35.25" x14ac:dyDescent="0.25">
      <c r="H63" s="2"/>
      <c r="I63" s="2"/>
      <c r="J63" s="2"/>
      <c r="K63" s="2"/>
      <c r="L63" s="2"/>
      <c r="M63" s="75"/>
      <c r="N63" s="2"/>
      <c r="O63" s="2"/>
      <c r="P63" s="2"/>
      <c r="Q63" s="2"/>
      <c r="R63" s="2"/>
      <c r="AK63" s="2"/>
    </row>
    <row r="64" spans="8:37" ht="35.25" x14ac:dyDescent="0.25">
      <c r="H64" s="2"/>
      <c r="I64" s="2"/>
      <c r="J64" s="2"/>
      <c r="K64" s="2"/>
      <c r="L64" s="2"/>
      <c r="M64" s="75"/>
      <c r="N64" s="2"/>
      <c r="O64" s="2"/>
      <c r="P64" s="2"/>
      <c r="Q64" s="2"/>
      <c r="R64" s="2"/>
      <c r="AK64" s="2"/>
    </row>
    <row r="65" spans="8:37" ht="35.25" x14ac:dyDescent="0.25">
      <c r="H65" s="2"/>
      <c r="I65" s="2"/>
      <c r="J65" s="2"/>
      <c r="K65" s="2"/>
      <c r="L65" s="2"/>
      <c r="M65" s="75"/>
      <c r="N65" s="2"/>
      <c r="O65" s="2"/>
      <c r="P65" s="2"/>
      <c r="Q65" s="2"/>
      <c r="R65" s="2"/>
      <c r="AK65" s="2"/>
    </row>
    <row r="66" spans="8:37" ht="35.25" x14ac:dyDescent="0.25">
      <c r="H66" s="2"/>
      <c r="I66" s="2"/>
      <c r="J66" s="2"/>
      <c r="K66" s="2"/>
      <c r="L66" s="2"/>
      <c r="M66" s="75"/>
      <c r="N66" s="2"/>
      <c r="O66" s="2"/>
      <c r="P66" s="2"/>
      <c r="Q66" s="2"/>
      <c r="R66" s="2"/>
      <c r="AK66" s="2"/>
    </row>
    <row r="67" spans="8:37" ht="35.25" x14ac:dyDescent="0.25">
      <c r="H67" s="2"/>
      <c r="I67" s="2"/>
      <c r="J67" s="2"/>
      <c r="K67" s="2"/>
      <c r="L67" s="2"/>
      <c r="M67" s="75"/>
      <c r="N67" s="2"/>
      <c r="O67" s="2"/>
      <c r="P67" s="2"/>
      <c r="Q67" s="2"/>
      <c r="R67" s="2"/>
      <c r="AK67" s="2"/>
    </row>
    <row r="68" spans="8:37" ht="35.25" x14ac:dyDescent="0.25">
      <c r="H68" s="2"/>
      <c r="I68" s="2"/>
      <c r="J68" s="2"/>
      <c r="K68" s="2"/>
      <c r="L68" s="2"/>
      <c r="M68" s="75"/>
      <c r="N68" s="2"/>
      <c r="O68" s="2"/>
      <c r="P68" s="2"/>
      <c r="Q68" s="2"/>
      <c r="R68" s="2"/>
      <c r="AK68" s="2"/>
    </row>
    <row r="69" spans="8:37" ht="35.25" x14ac:dyDescent="0.25">
      <c r="H69" s="2"/>
      <c r="I69" s="2"/>
      <c r="J69" s="2"/>
      <c r="K69" s="2"/>
      <c r="L69" s="2"/>
      <c r="M69" s="75"/>
      <c r="N69" s="2"/>
      <c r="O69" s="2"/>
      <c r="P69" s="2"/>
      <c r="Q69" s="2"/>
      <c r="R69" s="2"/>
      <c r="AK69" s="2"/>
    </row>
    <row r="70" spans="8:37" ht="35.25" x14ac:dyDescent="0.25">
      <c r="H70" s="2"/>
      <c r="I70" s="2"/>
      <c r="J70" s="2"/>
      <c r="K70" s="2"/>
      <c r="L70" s="2"/>
      <c r="M70" s="75"/>
      <c r="N70" s="2"/>
      <c r="O70" s="2"/>
      <c r="P70" s="2"/>
      <c r="Q70" s="2"/>
      <c r="R70" s="2"/>
      <c r="AK70" s="2"/>
    </row>
    <row r="71" spans="8:37" ht="35.25" x14ac:dyDescent="0.25">
      <c r="H71" s="2"/>
      <c r="I71" s="2"/>
      <c r="J71" s="2"/>
      <c r="K71" s="2"/>
      <c r="L71" s="2"/>
      <c r="M71" s="75"/>
      <c r="N71" s="2"/>
      <c r="O71" s="2"/>
      <c r="P71" s="2"/>
      <c r="Q71" s="2"/>
      <c r="R71" s="2"/>
      <c r="AK71" s="2"/>
    </row>
    <row r="72" spans="8:37" ht="35.25" x14ac:dyDescent="0.25">
      <c r="H72" s="2"/>
      <c r="I72" s="2"/>
      <c r="J72" s="2"/>
      <c r="K72" s="2"/>
      <c r="L72" s="2"/>
      <c r="M72" s="75"/>
      <c r="N72" s="2"/>
      <c r="O72" s="2"/>
      <c r="P72" s="2"/>
      <c r="Q72" s="2"/>
      <c r="R72" s="2"/>
      <c r="AK72" s="2"/>
    </row>
    <row r="73" spans="8:37" ht="35.25" x14ac:dyDescent="0.25">
      <c r="H73" s="2"/>
      <c r="I73" s="2"/>
      <c r="J73" s="2"/>
      <c r="K73" s="2"/>
      <c r="L73" s="2"/>
      <c r="M73" s="75"/>
      <c r="N73" s="2"/>
      <c r="O73" s="2"/>
      <c r="P73" s="2"/>
      <c r="Q73" s="2"/>
      <c r="R73" s="2"/>
      <c r="AK73" s="2"/>
    </row>
    <row r="74" spans="8:37" ht="35.25" x14ac:dyDescent="0.25">
      <c r="H74" s="2"/>
      <c r="I74" s="2"/>
      <c r="J74" s="2"/>
      <c r="K74" s="2"/>
      <c r="L74" s="2"/>
      <c r="M74" s="75"/>
      <c r="N74" s="2"/>
      <c r="O74" s="2"/>
      <c r="P74" s="2"/>
      <c r="Q74" s="2"/>
      <c r="R74" s="2"/>
      <c r="AK74" s="2"/>
    </row>
    <row r="75" spans="8:37" ht="35.25" x14ac:dyDescent="0.25">
      <c r="H75" s="2"/>
      <c r="I75" s="2"/>
      <c r="J75" s="2"/>
      <c r="K75" s="2"/>
      <c r="L75" s="2"/>
      <c r="M75" s="75"/>
      <c r="N75" s="2"/>
      <c r="O75" s="2"/>
      <c r="P75" s="2"/>
      <c r="Q75" s="2"/>
      <c r="R75" s="2"/>
      <c r="AK75" s="2"/>
    </row>
    <row r="76" spans="8:37" ht="35.25" x14ac:dyDescent="0.25">
      <c r="H76" s="2"/>
      <c r="I76" s="2"/>
      <c r="J76" s="2"/>
      <c r="K76" s="2"/>
      <c r="L76" s="2"/>
      <c r="M76" s="75"/>
      <c r="N76" s="2"/>
      <c r="O76" s="2"/>
      <c r="P76" s="2"/>
      <c r="Q76" s="2"/>
      <c r="R76" s="2"/>
      <c r="AK76" s="2"/>
    </row>
    <row r="77" spans="8:37" ht="35.25" x14ac:dyDescent="0.25">
      <c r="H77" s="2"/>
      <c r="I77" s="2"/>
      <c r="J77" s="2"/>
      <c r="K77" s="2"/>
      <c r="L77" s="2"/>
      <c r="M77" s="75"/>
      <c r="N77" s="2"/>
      <c r="O77" s="2"/>
      <c r="P77" s="2"/>
      <c r="Q77" s="2"/>
      <c r="R77" s="2"/>
      <c r="AK77" s="2"/>
    </row>
    <row r="78" spans="8:37" ht="35.25" x14ac:dyDescent="0.25">
      <c r="H78" s="2"/>
      <c r="I78" s="2"/>
      <c r="J78" s="2"/>
      <c r="K78" s="2"/>
      <c r="L78" s="2"/>
      <c r="M78" s="75"/>
      <c r="N78" s="2"/>
      <c r="O78" s="2"/>
      <c r="P78" s="2"/>
      <c r="Q78" s="2"/>
      <c r="R78" s="2"/>
      <c r="AK78" s="2"/>
    </row>
    <row r="79" spans="8:37" ht="35.25" x14ac:dyDescent="0.25">
      <c r="H79" s="2"/>
      <c r="I79" s="2"/>
      <c r="J79" s="2"/>
      <c r="K79" s="2"/>
      <c r="L79" s="2"/>
      <c r="M79" s="75"/>
      <c r="N79" s="2"/>
      <c r="O79" s="2"/>
      <c r="P79" s="2"/>
      <c r="Q79" s="2"/>
      <c r="R79" s="2"/>
      <c r="AK79" s="2"/>
    </row>
    <row r="80" spans="8:37" ht="35.25" x14ac:dyDescent="0.25">
      <c r="H80" s="2"/>
      <c r="I80" s="2"/>
      <c r="J80" s="2"/>
      <c r="K80" s="2"/>
      <c r="L80" s="2"/>
      <c r="M80" s="75"/>
      <c r="N80" s="2"/>
      <c r="O80" s="2"/>
      <c r="P80" s="2"/>
      <c r="Q80" s="2"/>
      <c r="R80" s="2"/>
      <c r="AK80" s="2"/>
    </row>
    <row r="81" spans="8:37" ht="35.25" x14ac:dyDescent="0.25">
      <c r="H81" s="2"/>
      <c r="I81" s="2"/>
      <c r="J81" s="2"/>
      <c r="K81" s="2"/>
      <c r="L81" s="2"/>
      <c r="M81" s="75"/>
      <c r="N81" s="2"/>
      <c r="O81" s="2"/>
      <c r="P81" s="2"/>
      <c r="Q81" s="2"/>
      <c r="R81" s="2"/>
      <c r="AK81" s="2"/>
    </row>
    <row r="82" spans="8:37" ht="35.25" x14ac:dyDescent="0.25">
      <c r="H82" s="2"/>
      <c r="I82" s="2"/>
      <c r="J82" s="2"/>
      <c r="K82" s="2"/>
      <c r="L82" s="2"/>
      <c r="M82" s="75"/>
      <c r="N82" s="2"/>
      <c r="O82" s="2"/>
      <c r="P82" s="2"/>
      <c r="Q82" s="2"/>
      <c r="R82" s="2"/>
      <c r="AK82" s="2"/>
    </row>
    <row r="83" spans="8:37" ht="35.25" x14ac:dyDescent="0.25">
      <c r="H83" s="2"/>
      <c r="I83" s="2"/>
      <c r="J83" s="2"/>
      <c r="K83" s="2"/>
      <c r="L83" s="2"/>
      <c r="M83" s="75"/>
      <c r="N83" s="2"/>
      <c r="O83" s="2"/>
      <c r="P83" s="2"/>
      <c r="Q83" s="2"/>
      <c r="R83" s="2"/>
      <c r="AK83" s="2"/>
    </row>
    <row r="84" spans="8:37" ht="35.25" x14ac:dyDescent="0.25">
      <c r="H84" s="2"/>
      <c r="I84" s="2"/>
      <c r="J84" s="2"/>
      <c r="K84" s="2"/>
      <c r="L84" s="2"/>
      <c r="M84" s="75"/>
      <c r="N84" s="2"/>
      <c r="O84" s="2"/>
      <c r="P84" s="2"/>
      <c r="Q84" s="2"/>
      <c r="R84" s="2"/>
      <c r="AK84" s="2"/>
    </row>
    <row r="85" spans="8:37" ht="35.25" x14ac:dyDescent="0.25">
      <c r="H85" s="2"/>
      <c r="I85" s="2"/>
      <c r="J85" s="2"/>
      <c r="K85" s="2"/>
      <c r="L85" s="2"/>
      <c r="M85" s="75"/>
      <c r="N85" s="2"/>
      <c r="O85" s="2"/>
      <c r="P85" s="2"/>
      <c r="Q85" s="2"/>
      <c r="R85" s="2"/>
      <c r="AK85" s="2"/>
    </row>
    <row r="86" spans="8:37" ht="35.25" x14ac:dyDescent="0.25">
      <c r="H86" s="2"/>
      <c r="I86" s="2"/>
      <c r="J86" s="2"/>
      <c r="K86" s="2"/>
      <c r="L86" s="2"/>
      <c r="M86" s="75"/>
      <c r="N86" s="2"/>
      <c r="O86" s="2"/>
      <c r="P86" s="2"/>
      <c r="Q86" s="2"/>
      <c r="R86" s="2"/>
      <c r="AK86" s="2"/>
    </row>
    <row r="87" spans="8:37" ht="35.25" x14ac:dyDescent="0.25">
      <c r="H87" s="2"/>
      <c r="I87" s="2"/>
      <c r="J87" s="2"/>
      <c r="K87" s="2"/>
      <c r="L87" s="2"/>
      <c r="M87" s="75"/>
      <c r="N87" s="2"/>
      <c r="O87" s="2"/>
      <c r="P87" s="2"/>
      <c r="Q87" s="2"/>
      <c r="R87" s="2"/>
      <c r="AK87" s="2"/>
    </row>
    <row r="88" spans="8:37" ht="35.25" x14ac:dyDescent="0.25">
      <c r="H88" s="2"/>
      <c r="I88" s="2"/>
      <c r="J88" s="2"/>
      <c r="K88" s="2"/>
      <c r="L88" s="2"/>
      <c r="M88" s="75"/>
      <c r="N88" s="2"/>
      <c r="O88" s="2"/>
      <c r="P88" s="2"/>
      <c r="Q88" s="2"/>
      <c r="R88" s="2"/>
      <c r="AK88" s="2"/>
    </row>
    <row r="89" spans="8:37" ht="35.25" x14ac:dyDescent="0.25">
      <c r="H89" s="2"/>
      <c r="I89" s="2"/>
      <c r="J89" s="2"/>
      <c r="K89" s="2"/>
      <c r="L89" s="2"/>
      <c r="M89" s="75"/>
      <c r="N89" s="2"/>
      <c r="O89" s="2"/>
      <c r="P89" s="2"/>
      <c r="Q89" s="2"/>
      <c r="R89" s="2"/>
      <c r="AK89" s="2"/>
    </row>
    <row r="90" spans="8:37" ht="35.25" x14ac:dyDescent="0.25">
      <c r="H90" s="2"/>
      <c r="I90" s="2"/>
      <c r="J90" s="2"/>
      <c r="K90" s="2"/>
      <c r="L90" s="2"/>
      <c r="M90" s="75"/>
      <c r="N90" s="2"/>
      <c r="O90" s="2"/>
      <c r="P90" s="2"/>
      <c r="Q90" s="2"/>
      <c r="R90" s="2"/>
      <c r="AK90" s="2"/>
    </row>
    <row r="91" spans="8:37" ht="35.25" x14ac:dyDescent="0.25">
      <c r="H91" s="2"/>
      <c r="I91" s="2"/>
      <c r="J91" s="2"/>
      <c r="K91" s="2"/>
      <c r="L91" s="2"/>
      <c r="M91" s="75"/>
      <c r="N91" s="2"/>
      <c r="O91" s="2"/>
      <c r="P91" s="2"/>
      <c r="Q91" s="2"/>
      <c r="R91" s="2"/>
      <c r="AK91" s="2"/>
    </row>
    <row r="92" spans="8:37" ht="35.25" x14ac:dyDescent="0.25">
      <c r="H92" s="2"/>
      <c r="I92" s="2"/>
      <c r="J92" s="2"/>
      <c r="K92" s="2"/>
      <c r="L92" s="2"/>
      <c r="M92" s="75"/>
      <c r="N92" s="2"/>
      <c r="O92" s="2"/>
      <c r="P92" s="2"/>
      <c r="Q92" s="2"/>
      <c r="R92" s="2"/>
      <c r="AK92" s="2"/>
    </row>
    <row r="93" spans="8:37" ht="35.25" x14ac:dyDescent="0.25">
      <c r="H93" s="2"/>
      <c r="I93" s="2"/>
      <c r="J93" s="2"/>
      <c r="K93" s="2"/>
      <c r="L93" s="2"/>
      <c r="M93" s="75"/>
      <c r="N93" s="2"/>
      <c r="O93" s="2"/>
      <c r="P93" s="2"/>
      <c r="Q93" s="2"/>
      <c r="R93" s="2"/>
      <c r="AK93" s="2"/>
    </row>
    <row r="94" spans="8:37" ht="35.25" x14ac:dyDescent="0.25">
      <c r="H94" s="2"/>
      <c r="I94" s="2"/>
      <c r="J94" s="2"/>
      <c r="K94" s="2"/>
      <c r="L94" s="2"/>
      <c r="M94" s="75"/>
      <c r="N94" s="2"/>
      <c r="O94" s="2"/>
      <c r="P94" s="2"/>
      <c r="Q94" s="2"/>
      <c r="R94" s="2"/>
      <c r="AK94" s="2"/>
    </row>
    <row r="95" spans="8:37" ht="35.25" x14ac:dyDescent="0.25">
      <c r="H95" s="2"/>
      <c r="I95" s="2"/>
      <c r="J95" s="2"/>
      <c r="K95" s="2"/>
      <c r="L95" s="2"/>
      <c r="M95" s="75"/>
      <c r="N95" s="2"/>
      <c r="O95" s="2"/>
      <c r="P95" s="2"/>
      <c r="Q95" s="2"/>
      <c r="R95" s="2"/>
      <c r="AK95" s="2"/>
    </row>
    <row r="96" spans="8:37" ht="35.25" x14ac:dyDescent="0.25">
      <c r="H96" s="2"/>
      <c r="I96" s="2"/>
      <c r="J96" s="2"/>
      <c r="K96" s="2"/>
      <c r="L96" s="2"/>
      <c r="M96" s="75"/>
      <c r="N96" s="2"/>
      <c r="O96" s="2"/>
      <c r="P96" s="2"/>
      <c r="Q96" s="2"/>
      <c r="R96" s="2"/>
      <c r="AK96" s="2"/>
    </row>
    <row r="97" spans="8:37" ht="35.25" x14ac:dyDescent="0.25">
      <c r="H97" s="2"/>
      <c r="I97" s="2"/>
      <c r="J97" s="2"/>
      <c r="K97" s="2"/>
      <c r="L97" s="2"/>
      <c r="M97" s="75"/>
      <c r="N97" s="2"/>
      <c r="O97" s="2"/>
      <c r="P97" s="2"/>
      <c r="Q97" s="2"/>
      <c r="R97" s="2"/>
      <c r="AK97" s="2"/>
    </row>
    <row r="98" spans="8:37" ht="35.25" x14ac:dyDescent="0.25">
      <c r="H98" s="2"/>
      <c r="I98" s="2"/>
      <c r="J98" s="2"/>
      <c r="K98" s="2"/>
      <c r="L98" s="2"/>
      <c r="M98" s="75"/>
      <c r="N98" s="2"/>
      <c r="O98" s="2"/>
      <c r="P98" s="2"/>
      <c r="Q98" s="2"/>
      <c r="R98" s="2"/>
      <c r="AK98" s="2"/>
    </row>
    <row r="99" spans="8:37" ht="35.25" x14ac:dyDescent="0.25">
      <c r="H99" s="2"/>
      <c r="I99" s="2"/>
      <c r="J99" s="2"/>
      <c r="K99" s="2"/>
      <c r="L99" s="2"/>
      <c r="M99" s="75"/>
      <c r="N99" s="2"/>
      <c r="O99" s="2"/>
      <c r="P99" s="2"/>
      <c r="Q99" s="2"/>
      <c r="R99" s="2"/>
      <c r="AK99" s="2"/>
    </row>
    <row r="100" spans="8:37" ht="35.25" x14ac:dyDescent="0.25">
      <c r="H100" s="2"/>
      <c r="I100" s="2"/>
      <c r="J100" s="2"/>
      <c r="K100" s="2"/>
      <c r="L100" s="2"/>
      <c r="M100" s="75"/>
      <c r="N100" s="2"/>
      <c r="O100" s="2"/>
      <c r="P100" s="2"/>
      <c r="Q100" s="2"/>
      <c r="R100" s="2"/>
      <c r="AK100" s="2"/>
    </row>
    <row r="101" spans="8:37" ht="35.25" x14ac:dyDescent="0.25">
      <c r="H101" s="2"/>
      <c r="I101" s="2"/>
      <c r="J101" s="2"/>
      <c r="K101" s="2"/>
      <c r="L101" s="2"/>
      <c r="M101" s="75"/>
      <c r="N101" s="2"/>
      <c r="O101" s="2"/>
      <c r="P101" s="2"/>
      <c r="Q101" s="2"/>
      <c r="R101" s="2"/>
      <c r="AK101" s="2"/>
    </row>
    <row r="102" spans="8:37" ht="35.25" x14ac:dyDescent="0.25">
      <c r="H102" s="2"/>
      <c r="I102" s="2"/>
      <c r="J102" s="2"/>
      <c r="K102" s="2"/>
      <c r="L102" s="2"/>
      <c r="M102" s="75"/>
      <c r="N102" s="2"/>
      <c r="O102" s="2"/>
      <c r="P102" s="2"/>
      <c r="Q102" s="2"/>
      <c r="R102" s="2"/>
      <c r="AK102" s="2"/>
    </row>
    <row r="103" spans="8:37" ht="35.25" x14ac:dyDescent="0.25">
      <c r="H103" s="2"/>
      <c r="I103" s="2"/>
      <c r="J103" s="2"/>
      <c r="K103" s="2"/>
      <c r="L103" s="2"/>
      <c r="M103" s="75"/>
      <c r="N103" s="2"/>
      <c r="O103" s="2"/>
      <c r="P103" s="2"/>
      <c r="Q103" s="2"/>
      <c r="R103" s="2"/>
      <c r="AK103" s="2"/>
    </row>
    <row r="104" spans="8:37" ht="35.25" x14ac:dyDescent="0.25">
      <c r="H104" s="2"/>
      <c r="I104" s="2"/>
      <c r="J104" s="2"/>
      <c r="K104" s="2"/>
      <c r="L104" s="2"/>
      <c r="M104" s="75"/>
      <c r="N104" s="2"/>
      <c r="O104" s="2"/>
      <c r="P104" s="2"/>
      <c r="Q104" s="2"/>
      <c r="R104" s="2"/>
      <c r="AK104" s="2"/>
    </row>
    <row r="105" spans="8:37" ht="35.25" x14ac:dyDescent="0.25">
      <c r="H105" s="2"/>
      <c r="I105" s="2"/>
      <c r="J105" s="2"/>
      <c r="K105" s="2"/>
      <c r="L105" s="2"/>
      <c r="M105" s="75"/>
      <c r="N105" s="2"/>
      <c r="O105" s="2"/>
      <c r="P105" s="2"/>
      <c r="Q105" s="2"/>
      <c r="R105" s="2"/>
      <c r="AK105" s="2"/>
    </row>
    <row r="106" spans="8:37" ht="35.25" x14ac:dyDescent="0.25">
      <c r="H106" s="2"/>
      <c r="I106" s="2"/>
      <c r="J106" s="2"/>
      <c r="K106" s="2"/>
      <c r="L106" s="2"/>
      <c r="M106" s="75"/>
      <c r="N106" s="2"/>
      <c r="O106" s="2"/>
      <c r="P106" s="2"/>
      <c r="Q106" s="2"/>
      <c r="R106" s="2"/>
      <c r="AK106" s="2"/>
    </row>
    <row r="107" spans="8:37" ht="35.25" x14ac:dyDescent="0.25">
      <c r="H107" s="2"/>
      <c r="I107" s="2"/>
      <c r="J107" s="2"/>
      <c r="K107" s="2"/>
      <c r="L107" s="2"/>
      <c r="M107" s="75"/>
      <c r="N107" s="2"/>
      <c r="O107" s="2"/>
      <c r="P107" s="2"/>
      <c r="Q107" s="2"/>
      <c r="R107" s="2"/>
      <c r="AK107" s="2"/>
    </row>
    <row r="108" spans="8:37" ht="35.25" x14ac:dyDescent="0.25">
      <c r="H108" s="2"/>
      <c r="I108" s="2"/>
      <c r="J108" s="2"/>
      <c r="K108" s="2"/>
      <c r="L108" s="2"/>
      <c r="M108" s="75"/>
      <c r="N108" s="2"/>
      <c r="O108" s="2"/>
      <c r="P108" s="2"/>
      <c r="Q108" s="2"/>
      <c r="R108" s="2"/>
      <c r="AK108" s="2"/>
    </row>
    <row r="109" spans="8:37" ht="35.25" x14ac:dyDescent="0.25">
      <c r="H109" s="2"/>
      <c r="I109" s="2"/>
      <c r="J109" s="2"/>
      <c r="K109" s="2"/>
      <c r="L109" s="2"/>
      <c r="M109" s="75"/>
      <c r="N109" s="2"/>
      <c r="O109" s="2"/>
      <c r="P109" s="2"/>
      <c r="Q109" s="2"/>
      <c r="R109" s="2"/>
      <c r="AK109" s="2"/>
    </row>
    <row r="110" spans="8:37" ht="35.25" x14ac:dyDescent="0.25">
      <c r="H110" s="2"/>
      <c r="I110" s="2"/>
      <c r="J110" s="2"/>
      <c r="K110" s="2"/>
      <c r="L110" s="2"/>
      <c r="M110" s="75"/>
      <c r="N110" s="2"/>
      <c r="O110" s="2"/>
      <c r="P110" s="2"/>
      <c r="Q110" s="2"/>
      <c r="R110" s="2"/>
      <c r="AK110" s="2"/>
    </row>
    <row r="111" spans="8:37" ht="35.25" x14ac:dyDescent="0.25">
      <c r="H111" s="2"/>
      <c r="I111" s="2"/>
      <c r="J111" s="2"/>
      <c r="K111" s="2"/>
      <c r="L111" s="2"/>
      <c r="M111" s="75"/>
      <c r="N111" s="2"/>
      <c r="O111" s="2"/>
      <c r="P111" s="2"/>
      <c r="Q111" s="2"/>
      <c r="R111" s="2"/>
      <c r="AK111" s="2"/>
    </row>
    <row r="112" spans="8:37" ht="35.25" x14ac:dyDescent="0.25">
      <c r="H112" s="2"/>
      <c r="I112" s="2"/>
      <c r="J112" s="2"/>
      <c r="K112" s="2"/>
      <c r="L112" s="2"/>
      <c r="M112" s="75"/>
      <c r="N112" s="2"/>
      <c r="O112" s="2"/>
      <c r="P112" s="2"/>
      <c r="Q112" s="2"/>
      <c r="R112" s="2"/>
      <c r="AK112" s="2"/>
    </row>
    <row r="113" spans="8:37" ht="35.25" x14ac:dyDescent="0.25">
      <c r="H113" s="2"/>
      <c r="I113" s="2"/>
      <c r="J113" s="2"/>
      <c r="K113" s="2"/>
      <c r="L113" s="2"/>
      <c r="M113" s="75"/>
      <c r="N113" s="2"/>
      <c r="O113" s="2"/>
      <c r="P113" s="2"/>
      <c r="Q113" s="2"/>
      <c r="R113" s="2"/>
      <c r="AK113" s="2"/>
    </row>
    <row r="114" spans="8:37" ht="35.25" x14ac:dyDescent="0.25">
      <c r="H114" s="2"/>
      <c r="I114" s="2"/>
      <c r="J114" s="2"/>
      <c r="K114" s="2"/>
      <c r="L114" s="2"/>
      <c r="M114" s="75"/>
      <c r="N114" s="2"/>
      <c r="O114" s="2"/>
      <c r="P114" s="2"/>
      <c r="Q114" s="2"/>
      <c r="R114" s="2"/>
      <c r="AK114" s="2"/>
    </row>
    <row r="115" spans="8:37" ht="35.25" x14ac:dyDescent="0.25">
      <c r="H115" s="2"/>
      <c r="I115" s="2"/>
      <c r="J115" s="2"/>
      <c r="K115" s="2"/>
      <c r="L115" s="2"/>
      <c r="M115" s="75"/>
      <c r="N115" s="2"/>
      <c r="O115" s="2"/>
      <c r="P115" s="2"/>
      <c r="Q115" s="2"/>
      <c r="R115" s="2"/>
      <c r="AK115" s="2"/>
    </row>
    <row r="116" spans="8:37" ht="35.25" x14ac:dyDescent="0.25">
      <c r="H116" s="2"/>
      <c r="I116" s="2"/>
      <c r="J116" s="2"/>
      <c r="K116" s="2"/>
      <c r="L116" s="2"/>
      <c r="M116" s="75"/>
      <c r="N116" s="2"/>
      <c r="O116" s="2"/>
      <c r="P116" s="2"/>
      <c r="Q116" s="2"/>
      <c r="R116" s="2"/>
      <c r="AK116" s="2"/>
    </row>
    <row r="117" spans="8:37" ht="35.25" x14ac:dyDescent="0.25">
      <c r="H117" s="2"/>
      <c r="I117" s="2"/>
      <c r="J117" s="2"/>
      <c r="K117" s="2"/>
      <c r="L117" s="2"/>
      <c r="M117" s="75"/>
      <c r="N117" s="2"/>
      <c r="O117" s="2"/>
      <c r="P117" s="2"/>
      <c r="Q117" s="2"/>
      <c r="R117" s="2"/>
      <c r="AK117" s="2"/>
    </row>
    <row r="118" spans="8:37" ht="35.25" x14ac:dyDescent="0.25">
      <c r="H118" s="2"/>
      <c r="I118" s="2"/>
      <c r="J118" s="2"/>
      <c r="K118" s="2"/>
      <c r="L118" s="2"/>
      <c r="M118" s="75"/>
      <c r="N118" s="2"/>
      <c r="O118" s="2"/>
      <c r="P118" s="2"/>
      <c r="Q118" s="2"/>
      <c r="R118" s="2"/>
      <c r="AK118" s="2"/>
    </row>
    <row r="119" spans="8:37" ht="35.25" x14ac:dyDescent="0.25">
      <c r="H119" s="2"/>
      <c r="I119" s="2"/>
      <c r="J119" s="2"/>
      <c r="K119" s="2"/>
      <c r="L119" s="2"/>
      <c r="M119" s="75"/>
      <c r="N119" s="2"/>
      <c r="O119" s="2"/>
      <c r="P119" s="2"/>
      <c r="Q119" s="2"/>
      <c r="R119" s="2"/>
      <c r="AK119" s="2"/>
    </row>
    <row r="120" spans="8:37" ht="35.25" x14ac:dyDescent="0.25">
      <c r="H120" s="2"/>
      <c r="I120" s="2"/>
      <c r="J120" s="2"/>
      <c r="K120" s="2"/>
      <c r="L120" s="2"/>
      <c r="M120" s="75"/>
      <c r="N120" s="2"/>
      <c r="O120" s="2"/>
      <c r="P120" s="2"/>
      <c r="Q120" s="2"/>
      <c r="R120" s="2"/>
      <c r="AK120" s="2"/>
    </row>
    <row r="121" spans="8:37" ht="35.25" x14ac:dyDescent="0.25">
      <c r="H121" s="2"/>
      <c r="I121" s="2"/>
      <c r="J121" s="2"/>
      <c r="K121" s="2"/>
      <c r="L121" s="2"/>
      <c r="M121" s="75"/>
      <c r="N121" s="2"/>
      <c r="O121" s="2"/>
      <c r="P121" s="2"/>
      <c r="Q121" s="2"/>
      <c r="R121" s="2"/>
      <c r="AK121" s="2"/>
    </row>
    <row r="122" spans="8:37" ht="35.25" x14ac:dyDescent="0.25">
      <c r="H122" s="2"/>
      <c r="I122" s="2"/>
      <c r="J122" s="2"/>
      <c r="K122" s="2"/>
      <c r="L122" s="2"/>
      <c r="M122" s="75"/>
      <c r="N122" s="2"/>
      <c r="O122" s="2"/>
      <c r="P122" s="2"/>
      <c r="Q122" s="2"/>
      <c r="R122" s="2"/>
      <c r="AK122" s="2"/>
    </row>
    <row r="123" spans="8:37" ht="35.25" x14ac:dyDescent="0.25">
      <c r="H123" s="2"/>
      <c r="I123" s="2"/>
      <c r="J123" s="2"/>
      <c r="K123" s="2"/>
      <c r="L123" s="2"/>
      <c r="M123" s="75"/>
      <c r="N123" s="2"/>
      <c r="O123" s="2"/>
      <c r="P123" s="2"/>
      <c r="Q123" s="2"/>
      <c r="R123" s="2"/>
      <c r="AK123" s="2"/>
    </row>
    <row r="124" spans="8:37" ht="35.25" x14ac:dyDescent="0.25">
      <c r="H124" s="2"/>
      <c r="I124" s="2"/>
      <c r="J124" s="2"/>
      <c r="K124" s="2"/>
      <c r="L124" s="2"/>
      <c r="M124" s="75"/>
      <c r="N124" s="2"/>
      <c r="O124" s="2"/>
      <c r="P124" s="2"/>
      <c r="Q124" s="2"/>
      <c r="R124" s="2"/>
      <c r="AK124" s="2"/>
    </row>
    <row r="125" spans="8:37" ht="35.25" x14ac:dyDescent="0.25">
      <c r="H125" s="2"/>
      <c r="I125" s="2"/>
      <c r="J125" s="2"/>
      <c r="K125" s="2"/>
      <c r="L125" s="2"/>
      <c r="M125" s="75"/>
      <c r="N125" s="2"/>
      <c r="O125" s="2"/>
      <c r="P125" s="2"/>
      <c r="Q125" s="2"/>
      <c r="R125" s="2"/>
      <c r="AK125" s="2"/>
    </row>
    <row r="126" spans="8:37" ht="35.25" x14ac:dyDescent="0.25">
      <c r="H126" s="2"/>
      <c r="I126" s="2"/>
      <c r="J126" s="2"/>
      <c r="K126" s="2"/>
      <c r="L126" s="2"/>
      <c r="M126" s="75"/>
      <c r="N126" s="2"/>
      <c r="O126" s="2"/>
      <c r="P126" s="2"/>
      <c r="Q126" s="2"/>
      <c r="R126" s="2"/>
      <c r="AK126" s="2"/>
    </row>
    <row r="127" spans="8:37" ht="35.25" x14ac:dyDescent="0.25">
      <c r="H127" s="2"/>
      <c r="I127" s="2"/>
      <c r="J127" s="2"/>
      <c r="K127" s="2"/>
      <c r="L127" s="2"/>
      <c r="M127" s="75"/>
      <c r="N127" s="2"/>
      <c r="O127" s="2"/>
      <c r="P127" s="2"/>
      <c r="Q127" s="2"/>
      <c r="R127" s="2"/>
      <c r="AK127" s="2"/>
    </row>
    <row r="128" spans="8:37" ht="35.25" x14ac:dyDescent="0.25">
      <c r="H128" s="2"/>
      <c r="I128" s="2"/>
      <c r="J128" s="2"/>
      <c r="K128" s="2"/>
      <c r="L128" s="2"/>
      <c r="M128" s="75"/>
      <c r="N128" s="2"/>
      <c r="O128" s="2"/>
      <c r="P128" s="2"/>
      <c r="Q128" s="2"/>
      <c r="R128" s="2"/>
      <c r="AK128" s="2"/>
    </row>
    <row r="129" spans="8:37" ht="35.25" x14ac:dyDescent="0.25">
      <c r="H129" s="2"/>
      <c r="I129" s="2"/>
      <c r="J129" s="2"/>
      <c r="K129" s="2"/>
      <c r="L129" s="2"/>
      <c r="M129" s="75"/>
      <c r="N129" s="2"/>
      <c r="O129" s="2"/>
      <c r="P129" s="2"/>
      <c r="Q129" s="2"/>
      <c r="R129" s="2"/>
      <c r="AK129" s="2"/>
    </row>
    <row r="130" spans="8:37" ht="35.25" x14ac:dyDescent="0.25">
      <c r="H130" s="2"/>
      <c r="I130" s="2"/>
      <c r="J130" s="2"/>
      <c r="K130" s="2"/>
      <c r="L130" s="2"/>
      <c r="M130" s="75"/>
      <c r="N130" s="2"/>
      <c r="O130" s="2"/>
      <c r="P130" s="2"/>
      <c r="Q130" s="2"/>
      <c r="R130" s="2"/>
      <c r="AK130" s="2"/>
    </row>
    <row r="131" spans="8:37" ht="35.25" x14ac:dyDescent="0.25">
      <c r="H131" s="2"/>
      <c r="I131" s="2"/>
      <c r="J131" s="2"/>
      <c r="K131" s="2"/>
      <c r="L131" s="2"/>
      <c r="M131" s="75"/>
      <c r="N131" s="2"/>
      <c r="O131" s="2"/>
      <c r="P131" s="2"/>
      <c r="Q131" s="2"/>
      <c r="R131" s="2"/>
      <c r="AK131" s="2"/>
    </row>
    <row r="132" spans="8:37" ht="35.25" x14ac:dyDescent="0.25">
      <c r="H132" s="2"/>
      <c r="I132" s="2"/>
      <c r="J132" s="2"/>
      <c r="K132" s="2"/>
      <c r="L132" s="2"/>
      <c r="M132" s="75"/>
      <c r="N132" s="2"/>
      <c r="O132" s="2"/>
      <c r="P132" s="2"/>
      <c r="Q132" s="2"/>
      <c r="R132" s="2"/>
      <c r="AK132" s="2"/>
    </row>
    <row r="133" spans="8:37" ht="35.25" x14ac:dyDescent="0.25">
      <c r="H133" s="2"/>
      <c r="I133" s="2"/>
      <c r="J133" s="2"/>
      <c r="K133" s="2"/>
      <c r="L133" s="2"/>
      <c r="M133" s="75"/>
      <c r="N133" s="2"/>
      <c r="O133" s="2"/>
      <c r="P133" s="2"/>
      <c r="Q133" s="2"/>
      <c r="R133" s="2"/>
      <c r="AK133" s="2"/>
    </row>
    <row r="134" spans="8:37" ht="35.25" x14ac:dyDescent="0.25">
      <c r="H134" s="2"/>
      <c r="I134" s="2"/>
      <c r="J134" s="2"/>
      <c r="K134" s="2"/>
      <c r="L134" s="2"/>
      <c r="M134" s="75"/>
      <c r="N134" s="2"/>
      <c r="O134" s="2"/>
      <c r="P134" s="2"/>
      <c r="Q134" s="2"/>
      <c r="R134" s="2"/>
      <c r="AK134" s="2"/>
    </row>
    <row r="135" spans="8:37" ht="35.25" x14ac:dyDescent="0.25">
      <c r="H135" s="2"/>
      <c r="I135" s="2"/>
      <c r="J135" s="2"/>
      <c r="K135" s="2"/>
      <c r="L135" s="2"/>
      <c r="M135" s="75"/>
      <c r="N135" s="2"/>
      <c r="O135" s="2"/>
      <c r="P135" s="2"/>
      <c r="Q135" s="2"/>
      <c r="R135" s="2"/>
      <c r="AK135" s="2"/>
    </row>
    <row r="136" spans="8:37" ht="35.25" x14ac:dyDescent="0.25">
      <c r="H136" s="2"/>
      <c r="I136" s="2"/>
      <c r="J136" s="2"/>
      <c r="K136" s="2"/>
      <c r="L136" s="2"/>
      <c r="M136" s="75"/>
      <c r="N136" s="2"/>
      <c r="O136" s="2"/>
      <c r="P136" s="2"/>
      <c r="Q136" s="2"/>
      <c r="R136" s="2"/>
      <c r="AK136" s="2"/>
    </row>
    <row r="137" spans="8:37" ht="35.25" x14ac:dyDescent="0.25">
      <c r="H137" s="2"/>
      <c r="I137" s="2"/>
      <c r="J137" s="2"/>
      <c r="K137" s="2"/>
      <c r="L137" s="2"/>
      <c r="M137" s="75"/>
      <c r="N137" s="2"/>
      <c r="O137" s="2"/>
      <c r="P137" s="2"/>
      <c r="Q137" s="2"/>
      <c r="R137" s="2"/>
      <c r="AK137" s="2"/>
    </row>
    <row r="138" spans="8:37" ht="35.25" x14ac:dyDescent="0.25">
      <c r="H138" s="2"/>
      <c r="I138" s="2"/>
      <c r="J138" s="2"/>
      <c r="K138" s="2"/>
      <c r="L138" s="2"/>
      <c r="M138" s="75"/>
      <c r="N138" s="2"/>
      <c r="O138" s="2"/>
      <c r="P138" s="2"/>
      <c r="Q138" s="2"/>
      <c r="R138" s="2"/>
      <c r="AK138" s="2"/>
    </row>
    <row r="139" spans="8:37" ht="35.25" x14ac:dyDescent="0.25">
      <c r="H139" s="2"/>
      <c r="I139" s="2"/>
      <c r="J139" s="2"/>
      <c r="K139" s="2"/>
      <c r="L139" s="2"/>
      <c r="M139" s="75"/>
      <c r="N139" s="2"/>
      <c r="O139" s="2"/>
      <c r="P139" s="2"/>
      <c r="Q139" s="2"/>
      <c r="R139" s="2"/>
      <c r="AK139" s="2"/>
    </row>
    <row r="140" spans="8:37" ht="35.25" x14ac:dyDescent="0.25">
      <c r="H140" s="2"/>
      <c r="I140" s="2"/>
      <c r="J140" s="2"/>
      <c r="K140" s="2"/>
      <c r="L140" s="2"/>
      <c r="M140" s="75"/>
      <c r="N140" s="2"/>
      <c r="O140" s="2"/>
      <c r="P140" s="2"/>
      <c r="Q140" s="2"/>
      <c r="R140" s="2"/>
      <c r="AK140" s="2"/>
    </row>
    <row r="141" spans="8:37" ht="35.25" x14ac:dyDescent="0.25">
      <c r="H141" s="2"/>
      <c r="I141" s="2"/>
      <c r="J141" s="2"/>
      <c r="K141" s="2"/>
      <c r="L141" s="2"/>
      <c r="M141" s="75"/>
      <c r="N141" s="2"/>
      <c r="O141" s="2"/>
      <c r="P141" s="2"/>
      <c r="Q141" s="2"/>
      <c r="R141" s="2"/>
      <c r="AK141" s="2"/>
    </row>
    <row r="142" spans="8:37" ht="35.25" x14ac:dyDescent="0.25">
      <c r="H142" s="2"/>
      <c r="I142" s="2"/>
      <c r="J142" s="2"/>
      <c r="K142" s="2"/>
      <c r="L142" s="2"/>
      <c r="M142" s="75"/>
      <c r="N142" s="2"/>
      <c r="O142" s="2"/>
      <c r="P142" s="2"/>
      <c r="Q142" s="2"/>
      <c r="R142" s="2"/>
      <c r="AK142" s="2"/>
    </row>
    <row r="143" spans="8:37" ht="35.25" x14ac:dyDescent="0.25">
      <c r="H143" s="2"/>
      <c r="I143" s="2"/>
      <c r="J143" s="2"/>
      <c r="K143" s="2"/>
      <c r="L143" s="2"/>
      <c r="M143" s="75"/>
      <c r="N143" s="2"/>
      <c r="O143" s="2"/>
      <c r="P143" s="2"/>
      <c r="Q143" s="2"/>
      <c r="R143" s="2"/>
      <c r="AK143" s="2"/>
    </row>
    <row r="144" spans="8:37" ht="35.25" x14ac:dyDescent="0.25">
      <c r="H144" s="2"/>
      <c r="I144" s="2"/>
      <c r="J144" s="2"/>
      <c r="K144" s="2"/>
      <c r="L144" s="2"/>
      <c r="M144" s="75"/>
      <c r="N144" s="2"/>
      <c r="O144" s="2"/>
      <c r="P144" s="2"/>
      <c r="Q144" s="2"/>
      <c r="R144" s="2"/>
      <c r="AK144" s="2"/>
    </row>
    <row r="145" spans="8:37" ht="35.25" x14ac:dyDescent="0.25">
      <c r="H145" s="2"/>
      <c r="I145" s="2"/>
      <c r="J145" s="2"/>
      <c r="K145" s="2"/>
      <c r="L145" s="2"/>
      <c r="M145" s="75"/>
      <c r="N145" s="2"/>
      <c r="O145" s="2"/>
      <c r="P145" s="2"/>
      <c r="Q145" s="2"/>
      <c r="R145" s="2"/>
      <c r="AK145" s="2"/>
    </row>
    <row r="146" spans="8:37" ht="35.25" x14ac:dyDescent="0.25">
      <c r="H146" s="2"/>
      <c r="I146" s="2"/>
      <c r="J146" s="2"/>
      <c r="K146" s="2"/>
      <c r="L146" s="2"/>
      <c r="M146" s="75"/>
      <c r="N146" s="2"/>
      <c r="O146" s="2"/>
      <c r="P146" s="2"/>
      <c r="Q146" s="2"/>
      <c r="R146" s="2"/>
      <c r="AK146" s="2"/>
    </row>
    <row r="147" spans="8:37" ht="35.25" x14ac:dyDescent="0.25">
      <c r="H147" s="2"/>
      <c r="I147" s="2"/>
      <c r="J147" s="2"/>
      <c r="K147" s="2"/>
      <c r="L147" s="2"/>
      <c r="M147" s="75"/>
      <c r="N147" s="2"/>
      <c r="O147" s="2"/>
      <c r="P147" s="2"/>
      <c r="Q147" s="2"/>
      <c r="R147" s="2"/>
      <c r="AK147" s="2"/>
    </row>
    <row r="148" spans="8:37" ht="35.25" x14ac:dyDescent="0.25">
      <c r="H148" s="2"/>
      <c r="I148" s="2"/>
      <c r="J148" s="2"/>
      <c r="K148" s="2"/>
      <c r="L148" s="2"/>
      <c r="M148" s="75"/>
      <c r="N148" s="2"/>
      <c r="O148" s="2"/>
      <c r="P148" s="2"/>
      <c r="Q148" s="2"/>
      <c r="R148" s="2"/>
      <c r="AK148" s="2"/>
    </row>
    <row r="149" spans="8:37" ht="35.25" x14ac:dyDescent="0.25">
      <c r="H149" s="2"/>
      <c r="I149" s="2"/>
      <c r="J149" s="2"/>
      <c r="K149" s="2"/>
      <c r="L149" s="2"/>
      <c r="M149" s="75"/>
      <c r="N149" s="2"/>
      <c r="O149" s="2"/>
      <c r="P149" s="2"/>
      <c r="Q149" s="2"/>
      <c r="R149" s="2"/>
      <c r="AK149" s="2"/>
    </row>
    <row r="150" spans="8:37" ht="35.25" x14ac:dyDescent="0.25">
      <c r="H150" s="2"/>
      <c r="I150" s="2"/>
      <c r="J150" s="2"/>
      <c r="K150" s="2"/>
      <c r="L150" s="2"/>
      <c r="M150" s="75"/>
      <c r="N150" s="2"/>
      <c r="O150" s="2"/>
      <c r="P150" s="2"/>
      <c r="Q150" s="2"/>
      <c r="R150" s="2"/>
      <c r="AK150" s="2"/>
    </row>
    <row r="151" spans="8:37" ht="35.25" x14ac:dyDescent="0.25">
      <c r="H151" s="2"/>
      <c r="I151" s="2"/>
      <c r="J151" s="2"/>
      <c r="K151" s="2"/>
      <c r="L151" s="2"/>
      <c r="M151" s="75"/>
      <c r="N151" s="2"/>
      <c r="O151" s="2"/>
      <c r="P151" s="2"/>
      <c r="Q151" s="2"/>
      <c r="R151" s="2"/>
      <c r="AK151" s="2"/>
    </row>
    <row r="152" spans="8:37" ht="35.25" x14ac:dyDescent="0.25">
      <c r="H152" s="2"/>
      <c r="I152" s="2"/>
      <c r="J152" s="2"/>
      <c r="K152" s="2"/>
      <c r="L152" s="2"/>
      <c r="M152" s="75"/>
      <c r="N152" s="2"/>
      <c r="O152" s="2"/>
      <c r="P152" s="2"/>
      <c r="Q152" s="2"/>
      <c r="R152" s="2"/>
      <c r="AK152" s="2"/>
    </row>
    <row r="153" spans="8:37" ht="35.25" x14ac:dyDescent="0.25">
      <c r="H153" s="2"/>
      <c r="I153" s="2"/>
      <c r="J153" s="2"/>
      <c r="K153" s="2"/>
      <c r="L153" s="2"/>
      <c r="M153" s="75"/>
      <c r="N153" s="2"/>
      <c r="O153" s="2"/>
      <c r="P153" s="2"/>
      <c r="Q153" s="2"/>
      <c r="R153" s="2"/>
      <c r="AK153" s="2"/>
    </row>
    <row r="154" spans="8:37" ht="35.25" x14ac:dyDescent="0.25">
      <c r="H154" s="2"/>
      <c r="I154" s="2"/>
      <c r="J154" s="2"/>
      <c r="K154" s="2"/>
      <c r="L154" s="2"/>
      <c r="M154" s="75"/>
      <c r="N154" s="2"/>
      <c r="O154" s="2"/>
      <c r="P154" s="2"/>
      <c r="Q154" s="2"/>
      <c r="R154" s="2"/>
      <c r="AK154" s="2"/>
    </row>
    <row r="155" spans="8:37" ht="35.25" x14ac:dyDescent="0.25">
      <c r="H155" s="2"/>
      <c r="I155" s="2"/>
      <c r="J155" s="2"/>
      <c r="K155" s="2"/>
      <c r="L155" s="2"/>
      <c r="M155" s="75"/>
      <c r="N155" s="2"/>
      <c r="O155" s="2"/>
      <c r="P155" s="2"/>
      <c r="Q155" s="2"/>
      <c r="R155" s="2"/>
      <c r="AK155" s="2"/>
    </row>
    <row r="156" spans="8:37" ht="35.25" x14ac:dyDescent="0.25">
      <c r="H156" s="2"/>
      <c r="I156" s="2"/>
      <c r="J156" s="2"/>
      <c r="K156" s="2"/>
      <c r="L156" s="2"/>
      <c r="M156" s="75"/>
      <c r="N156" s="2"/>
      <c r="O156" s="2"/>
      <c r="P156" s="2"/>
      <c r="Q156" s="2"/>
      <c r="R156" s="2"/>
      <c r="AK156" s="2"/>
    </row>
    <row r="157" spans="8:37" ht="35.25" x14ac:dyDescent="0.25">
      <c r="H157" s="2"/>
      <c r="I157" s="2"/>
      <c r="J157" s="2"/>
      <c r="K157" s="2"/>
      <c r="L157" s="2"/>
      <c r="M157" s="75"/>
      <c r="N157" s="2"/>
      <c r="O157" s="2"/>
      <c r="P157" s="2"/>
      <c r="Q157" s="2"/>
      <c r="R157" s="2"/>
      <c r="AK157" s="2"/>
    </row>
    <row r="158" spans="8:37" ht="35.25" x14ac:dyDescent="0.25">
      <c r="H158" s="2"/>
      <c r="I158" s="2"/>
      <c r="J158" s="2"/>
      <c r="K158" s="2"/>
      <c r="L158" s="2"/>
      <c r="M158" s="75"/>
      <c r="N158" s="2"/>
      <c r="O158" s="2"/>
      <c r="P158" s="2"/>
      <c r="Q158" s="2"/>
      <c r="R158" s="2"/>
      <c r="AK158" s="2"/>
    </row>
    <row r="159" spans="8:37" ht="35.25" x14ac:dyDescent="0.25">
      <c r="H159" s="2"/>
      <c r="I159" s="2"/>
      <c r="J159" s="2"/>
      <c r="K159" s="2"/>
      <c r="L159" s="2"/>
      <c r="M159" s="75"/>
      <c r="N159" s="2"/>
      <c r="O159" s="2"/>
      <c r="P159" s="2"/>
      <c r="Q159" s="2"/>
      <c r="R159" s="2"/>
      <c r="AK159" s="2"/>
    </row>
    <row r="160" spans="8:37" ht="35.25" x14ac:dyDescent="0.25">
      <c r="H160" s="2"/>
      <c r="I160" s="2"/>
      <c r="J160" s="2"/>
      <c r="K160" s="2"/>
      <c r="L160" s="2"/>
      <c r="M160" s="75"/>
      <c r="N160" s="2"/>
      <c r="O160" s="2"/>
      <c r="P160" s="2"/>
      <c r="Q160" s="2"/>
      <c r="R160" s="2"/>
      <c r="AK160" s="2"/>
    </row>
    <row r="161" spans="8:37" ht="35.25" x14ac:dyDescent="0.25">
      <c r="H161" s="2"/>
      <c r="I161" s="2"/>
      <c r="J161" s="2"/>
      <c r="K161" s="2"/>
      <c r="L161" s="2"/>
      <c r="M161" s="75"/>
      <c r="N161" s="2"/>
      <c r="O161" s="2"/>
      <c r="P161" s="2"/>
      <c r="Q161" s="2"/>
      <c r="R161" s="2"/>
      <c r="AK161" s="2"/>
    </row>
    <row r="162" spans="8:37" ht="35.25" x14ac:dyDescent="0.25">
      <c r="H162" s="2"/>
      <c r="I162" s="2"/>
      <c r="J162" s="2"/>
      <c r="K162" s="2"/>
      <c r="L162" s="2"/>
      <c r="M162" s="75"/>
      <c r="N162" s="2"/>
      <c r="O162" s="2"/>
      <c r="P162" s="2"/>
      <c r="Q162" s="2"/>
      <c r="R162" s="2"/>
      <c r="AK162" s="2"/>
    </row>
    <row r="163" spans="8:37" ht="35.25" x14ac:dyDescent="0.25">
      <c r="H163" s="2"/>
      <c r="I163" s="2"/>
      <c r="J163" s="2"/>
      <c r="K163" s="2"/>
      <c r="L163" s="2"/>
      <c r="M163" s="75"/>
      <c r="N163" s="2"/>
      <c r="O163" s="2"/>
      <c r="P163" s="2"/>
      <c r="Q163" s="2"/>
      <c r="R163" s="2"/>
      <c r="AK163" s="2"/>
    </row>
    <row r="164" spans="8:37" ht="35.25" x14ac:dyDescent="0.25">
      <c r="H164" s="2"/>
      <c r="I164" s="2"/>
      <c r="J164" s="2"/>
      <c r="K164" s="2"/>
      <c r="L164" s="2"/>
      <c r="M164" s="75"/>
      <c r="N164" s="2"/>
      <c r="O164" s="2"/>
      <c r="P164" s="2"/>
      <c r="Q164" s="2"/>
      <c r="R164" s="2"/>
      <c r="AK164" s="2"/>
    </row>
    <row r="165" spans="8:37" ht="35.25" x14ac:dyDescent="0.25">
      <c r="H165" s="2"/>
      <c r="I165" s="2"/>
      <c r="J165" s="2"/>
      <c r="K165" s="2"/>
      <c r="L165" s="2"/>
      <c r="M165" s="75"/>
      <c r="N165" s="2"/>
      <c r="O165" s="2"/>
      <c r="P165" s="2"/>
      <c r="Q165" s="2"/>
      <c r="R165" s="2"/>
      <c r="AK165" s="2"/>
    </row>
    <row r="166" spans="8:37" ht="35.25" x14ac:dyDescent="0.25">
      <c r="H166" s="2"/>
      <c r="I166" s="2"/>
      <c r="J166" s="2"/>
      <c r="K166" s="2"/>
      <c r="L166" s="2"/>
      <c r="M166" s="75"/>
      <c r="N166" s="2"/>
      <c r="O166" s="2"/>
      <c r="P166" s="2"/>
      <c r="Q166" s="2"/>
      <c r="R166" s="2"/>
      <c r="AK166" s="2"/>
    </row>
    <row r="167" spans="8:37" ht="35.25" x14ac:dyDescent="0.25">
      <c r="H167" s="2"/>
      <c r="I167" s="2"/>
      <c r="J167" s="2"/>
      <c r="K167" s="2"/>
      <c r="L167" s="2"/>
      <c r="M167" s="75"/>
      <c r="N167" s="2"/>
      <c r="O167" s="2"/>
      <c r="P167" s="2"/>
      <c r="Q167" s="2"/>
      <c r="R167" s="2"/>
      <c r="AK167" s="2"/>
    </row>
    <row r="168" spans="8:37" ht="35.25" x14ac:dyDescent="0.25">
      <c r="H168" s="2"/>
      <c r="I168" s="2"/>
      <c r="J168" s="2"/>
      <c r="K168" s="2"/>
      <c r="L168" s="2"/>
      <c r="M168" s="75"/>
      <c r="N168" s="2"/>
      <c r="O168" s="2"/>
      <c r="P168" s="2"/>
      <c r="Q168" s="2"/>
      <c r="R168" s="2"/>
      <c r="AK168" s="2"/>
    </row>
    <row r="169" spans="8:37" ht="35.25" x14ac:dyDescent="0.25">
      <c r="H169" s="2"/>
      <c r="I169" s="2"/>
      <c r="J169" s="2"/>
      <c r="K169" s="2"/>
      <c r="L169" s="2"/>
      <c r="M169" s="75"/>
      <c r="N169" s="2"/>
      <c r="O169" s="2"/>
      <c r="P169" s="2"/>
      <c r="Q169" s="2"/>
      <c r="R169" s="2"/>
      <c r="AK169" s="2"/>
    </row>
    <row r="170" spans="8:37" ht="35.25" x14ac:dyDescent="0.25">
      <c r="H170" s="2"/>
      <c r="I170" s="2"/>
      <c r="J170" s="2"/>
      <c r="K170" s="2"/>
      <c r="L170" s="2"/>
      <c r="M170" s="75"/>
      <c r="N170" s="2"/>
      <c r="O170" s="2"/>
      <c r="P170" s="2"/>
      <c r="Q170" s="2"/>
      <c r="R170" s="2"/>
      <c r="AK170" s="2"/>
    </row>
    <row r="171" spans="8:37" ht="35.25" x14ac:dyDescent="0.25">
      <c r="H171" s="2"/>
      <c r="I171" s="2"/>
      <c r="J171" s="2"/>
      <c r="K171" s="2"/>
      <c r="L171" s="2"/>
      <c r="M171" s="75"/>
      <c r="N171" s="2"/>
      <c r="O171" s="2"/>
      <c r="P171" s="2"/>
      <c r="Q171" s="2"/>
      <c r="R171" s="2"/>
      <c r="AK171" s="2"/>
    </row>
    <row r="172" spans="8:37" ht="35.25" x14ac:dyDescent="0.25">
      <c r="H172" s="2"/>
      <c r="I172" s="2"/>
      <c r="J172" s="2"/>
      <c r="K172" s="2"/>
      <c r="L172" s="2"/>
      <c r="M172" s="75"/>
      <c r="N172" s="2"/>
      <c r="O172" s="2"/>
      <c r="P172" s="2"/>
      <c r="Q172" s="2"/>
      <c r="R172" s="2"/>
      <c r="AK172" s="2"/>
    </row>
    <row r="173" spans="8:37" ht="35.25" x14ac:dyDescent="0.25">
      <c r="H173" s="2"/>
      <c r="I173" s="2"/>
      <c r="J173" s="2"/>
      <c r="K173" s="2"/>
      <c r="L173" s="2"/>
      <c r="M173" s="75"/>
      <c r="N173" s="2"/>
      <c r="O173" s="2"/>
      <c r="P173" s="2"/>
      <c r="Q173" s="2"/>
      <c r="R173" s="2"/>
      <c r="AK173" s="2"/>
    </row>
    <row r="174" spans="8:37" ht="35.25" x14ac:dyDescent="0.25">
      <c r="H174" s="2"/>
      <c r="I174" s="2"/>
      <c r="J174" s="2"/>
      <c r="K174" s="2"/>
      <c r="L174" s="2"/>
      <c r="M174" s="75"/>
      <c r="N174" s="2"/>
      <c r="O174" s="2"/>
      <c r="P174" s="2"/>
      <c r="Q174" s="2"/>
      <c r="R174" s="2"/>
      <c r="AK174" s="2"/>
    </row>
    <row r="175" spans="8:37" ht="35.25" x14ac:dyDescent="0.25">
      <c r="H175" s="2"/>
      <c r="I175" s="2"/>
      <c r="J175" s="2"/>
      <c r="K175" s="2"/>
      <c r="L175" s="2"/>
      <c r="M175" s="75"/>
      <c r="N175" s="2"/>
      <c r="O175" s="2"/>
      <c r="P175" s="2"/>
      <c r="Q175" s="2"/>
      <c r="R175" s="2"/>
      <c r="AK175" s="2"/>
    </row>
    <row r="176" spans="8:37" ht="35.25" x14ac:dyDescent="0.25">
      <c r="H176" s="2"/>
      <c r="I176" s="2"/>
      <c r="J176" s="2"/>
      <c r="K176" s="2"/>
      <c r="L176" s="2"/>
      <c r="M176" s="75"/>
      <c r="N176" s="2"/>
      <c r="O176" s="2"/>
      <c r="P176" s="2"/>
      <c r="Q176" s="2"/>
      <c r="R176" s="2"/>
      <c r="AK176" s="2"/>
    </row>
    <row r="177" spans="8:37" ht="35.25" x14ac:dyDescent="0.25">
      <c r="H177" s="2"/>
      <c r="I177" s="2"/>
      <c r="J177" s="2"/>
      <c r="K177" s="2"/>
      <c r="L177" s="2"/>
      <c r="M177" s="75"/>
      <c r="N177" s="2"/>
      <c r="O177" s="2"/>
      <c r="P177" s="2"/>
      <c r="Q177" s="2"/>
      <c r="R177" s="2"/>
      <c r="AK177" s="2"/>
    </row>
    <row r="178" spans="8:37" ht="35.25" x14ac:dyDescent="0.25">
      <c r="H178" s="2"/>
      <c r="I178" s="2"/>
      <c r="J178" s="2"/>
      <c r="K178" s="2"/>
      <c r="L178" s="2"/>
      <c r="M178" s="75"/>
      <c r="N178" s="2"/>
      <c r="O178" s="2"/>
      <c r="P178" s="2"/>
      <c r="Q178" s="2"/>
      <c r="R178" s="2"/>
      <c r="AK178" s="2"/>
    </row>
    <row r="179" spans="8:37" ht="35.25" x14ac:dyDescent="0.25">
      <c r="H179" s="2"/>
      <c r="I179" s="2"/>
      <c r="J179" s="2"/>
      <c r="K179" s="2"/>
      <c r="L179" s="2"/>
      <c r="M179" s="75"/>
      <c r="N179" s="2"/>
      <c r="O179" s="2"/>
      <c r="P179" s="2"/>
      <c r="Q179" s="2"/>
      <c r="R179" s="2"/>
      <c r="AK179" s="2"/>
    </row>
    <row r="180" spans="8:37" ht="35.25" x14ac:dyDescent="0.25">
      <c r="H180" s="2"/>
      <c r="I180" s="2"/>
      <c r="J180" s="2"/>
      <c r="K180" s="2"/>
      <c r="L180" s="2"/>
      <c r="M180" s="75"/>
      <c r="N180" s="2"/>
      <c r="O180" s="2"/>
      <c r="P180" s="2"/>
      <c r="Q180" s="2"/>
      <c r="R180" s="2"/>
      <c r="AK180" s="2"/>
    </row>
    <row r="181" spans="8:37" ht="35.25" x14ac:dyDescent="0.25">
      <c r="H181" s="2"/>
      <c r="I181" s="2"/>
      <c r="J181" s="2"/>
      <c r="K181" s="2"/>
      <c r="L181" s="2"/>
      <c r="M181" s="75"/>
      <c r="N181" s="2"/>
      <c r="O181" s="2"/>
      <c r="P181" s="2"/>
      <c r="Q181" s="2"/>
      <c r="R181" s="2"/>
      <c r="AK181" s="2"/>
    </row>
    <row r="182" spans="8:37" ht="35.25" x14ac:dyDescent="0.25">
      <c r="H182" s="2"/>
      <c r="I182" s="2"/>
      <c r="J182" s="2"/>
      <c r="K182" s="2"/>
      <c r="L182" s="2"/>
      <c r="M182" s="75"/>
      <c r="N182" s="2"/>
      <c r="O182" s="2"/>
      <c r="P182" s="2"/>
      <c r="Q182" s="2"/>
      <c r="R182" s="2"/>
      <c r="AK182" s="2"/>
    </row>
    <row r="183" spans="8:37" ht="35.25" x14ac:dyDescent="0.25">
      <c r="H183" s="2"/>
      <c r="I183" s="2"/>
      <c r="J183" s="2"/>
      <c r="K183" s="2"/>
      <c r="L183" s="2"/>
      <c r="M183" s="75"/>
      <c r="N183" s="2"/>
      <c r="O183" s="2"/>
      <c r="P183" s="2"/>
      <c r="Q183" s="2"/>
      <c r="R183" s="2"/>
      <c r="AK183" s="2"/>
    </row>
    <row r="184" spans="8:37" ht="35.25" x14ac:dyDescent="0.25">
      <c r="H184" s="2"/>
      <c r="I184" s="2"/>
      <c r="J184" s="2"/>
      <c r="K184" s="2"/>
      <c r="L184" s="2"/>
      <c r="M184" s="75"/>
      <c r="N184" s="2"/>
      <c r="O184" s="2"/>
      <c r="P184" s="2"/>
      <c r="Q184" s="2"/>
      <c r="R184" s="2"/>
      <c r="AK184" s="2"/>
    </row>
    <row r="185" spans="8:37" ht="35.25" x14ac:dyDescent="0.25">
      <c r="H185" s="2"/>
      <c r="I185" s="2"/>
      <c r="J185" s="2"/>
      <c r="K185" s="2"/>
      <c r="L185" s="2"/>
      <c r="M185" s="75"/>
      <c r="N185" s="2"/>
      <c r="O185" s="2"/>
      <c r="P185" s="2"/>
      <c r="Q185" s="2"/>
      <c r="R185" s="2"/>
      <c r="AK185" s="2"/>
    </row>
    <row r="186" spans="8:37" ht="35.25" x14ac:dyDescent="0.25">
      <c r="H186" s="2"/>
      <c r="I186" s="2"/>
      <c r="J186" s="2"/>
      <c r="K186" s="2"/>
      <c r="L186" s="2"/>
      <c r="M186" s="75"/>
      <c r="N186" s="2"/>
      <c r="O186" s="2"/>
      <c r="P186" s="2"/>
      <c r="Q186" s="2"/>
      <c r="R186" s="2"/>
      <c r="AK186" s="2"/>
    </row>
    <row r="187" spans="8:37" ht="35.25" x14ac:dyDescent="0.25">
      <c r="H187" s="2"/>
      <c r="I187" s="2"/>
      <c r="J187" s="2"/>
      <c r="K187" s="2"/>
      <c r="L187" s="2"/>
      <c r="M187" s="75"/>
      <c r="N187" s="2"/>
      <c r="O187" s="2"/>
      <c r="P187" s="2"/>
      <c r="Q187" s="2"/>
      <c r="R187" s="2"/>
      <c r="AK187" s="2"/>
    </row>
    <row r="188" spans="8:37" ht="35.25" x14ac:dyDescent="0.25">
      <c r="H188" s="2"/>
      <c r="I188" s="2"/>
      <c r="J188" s="2"/>
      <c r="K188" s="2"/>
      <c r="L188" s="2"/>
      <c r="M188" s="75"/>
      <c r="N188" s="2"/>
      <c r="O188" s="2"/>
      <c r="P188" s="2"/>
      <c r="Q188" s="2"/>
      <c r="R188" s="2"/>
      <c r="AK188" s="2"/>
    </row>
    <row r="189" spans="8:37" ht="35.25" x14ac:dyDescent="0.25">
      <c r="H189" s="2"/>
      <c r="I189" s="2"/>
      <c r="J189" s="2"/>
      <c r="K189" s="2"/>
      <c r="L189" s="2"/>
      <c r="M189" s="75"/>
      <c r="N189" s="2"/>
      <c r="O189" s="2"/>
      <c r="P189" s="2"/>
      <c r="Q189" s="2"/>
      <c r="R189" s="2"/>
      <c r="AK189" s="2"/>
    </row>
    <row r="190" spans="8:37" ht="35.25" x14ac:dyDescent="0.25">
      <c r="H190" s="2"/>
      <c r="I190" s="2"/>
      <c r="J190" s="2"/>
      <c r="K190" s="2"/>
      <c r="L190" s="2"/>
      <c r="M190" s="75"/>
      <c r="N190" s="2"/>
      <c r="O190" s="2"/>
      <c r="P190" s="2"/>
      <c r="Q190" s="2"/>
      <c r="R190" s="2"/>
      <c r="AK190" s="2"/>
    </row>
    <row r="191" spans="8:37" ht="35.25" x14ac:dyDescent="0.25">
      <c r="H191" s="2"/>
      <c r="I191" s="2"/>
      <c r="J191" s="2"/>
      <c r="K191" s="2"/>
      <c r="L191" s="2"/>
      <c r="M191" s="75"/>
      <c r="N191" s="2"/>
      <c r="O191" s="2"/>
      <c r="P191" s="2"/>
      <c r="Q191" s="2"/>
      <c r="R191" s="2"/>
      <c r="AK191" s="2"/>
    </row>
    <row r="192" spans="8:37" ht="35.25" x14ac:dyDescent="0.25">
      <c r="H192" s="2"/>
      <c r="I192" s="2"/>
      <c r="J192" s="2"/>
      <c r="K192" s="2"/>
      <c r="L192" s="2"/>
      <c r="M192" s="75"/>
      <c r="N192" s="2"/>
      <c r="O192" s="2"/>
      <c r="P192" s="2"/>
      <c r="Q192" s="2"/>
      <c r="R192" s="2"/>
      <c r="AK192" s="2"/>
    </row>
    <row r="193" spans="8:37" ht="35.25" x14ac:dyDescent="0.25">
      <c r="H193" s="2"/>
      <c r="I193" s="2"/>
      <c r="J193" s="2"/>
      <c r="K193" s="2"/>
      <c r="L193" s="2"/>
      <c r="M193" s="75"/>
      <c r="N193" s="2"/>
      <c r="O193" s="2"/>
      <c r="P193" s="2"/>
      <c r="Q193" s="2"/>
      <c r="R193" s="2"/>
      <c r="AK193" s="2"/>
    </row>
    <row r="194" spans="8:37" ht="35.25" x14ac:dyDescent="0.25">
      <c r="H194" s="2"/>
      <c r="I194" s="2"/>
      <c r="J194" s="2"/>
      <c r="K194" s="2"/>
      <c r="L194" s="2"/>
      <c r="M194" s="75"/>
      <c r="N194" s="2"/>
      <c r="O194" s="2"/>
      <c r="P194" s="2"/>
      <c r="Q194" s="2"/>
      <c r="R194" s="2"/>
      <c r="AK194" s="2"/>
    </row>
    <row r="195" spans="8:37" ht="35.25" x14ac:dyDescent="0.25">
      <c r="H195" s="2"/>
      <c r="I195" s="2"/>
      <c r="J195" s="2"/>
      <c r="K195" s="2"/>
      <c r="L195" s="2"/>
      <c r="M195" s="75"/>
      <c r="N195" s="2"/>
      <c r="O195" s="2"/>
      <c r="P195" s="2"/>
      <c r="Q195" s="2"/>
      <c r="R195" s="2"/>
      <c r="AK195" s="2"/>
    </row>
    <row r="196" spans="8:37" ht="35.25" x14ac:dyDescent="0.25">
      <c r="H196" s="2"/>
      <c r="I196" s="2"/>
      <c r="J196" s="2"/>
      <c r="K196" s="2"/>
      <c r="L196" s="2"/>
      <c r="M196" s="75"/>
      <c r="N196" s="2"/>
      <c r="O196" s="2"/>
      <c r="P196" s="2"/>
      <c r="Q196" s="2"/>
      <c r="R196" s="2"/>
      <c r="AK196" s="2"/>
    </row>
    <row r="197" spans="8:37" ht="35.25" x14ac:dyDescent="0.25">
      <c r="H197" s="2"/>
      <c r="I197" s="2"/>
      <c r="J197" s="2"/>
      <c r="K197" s="2"/>
      <c r="L197" s="2"/>
      <c r="M197" s="75"/>
      <c r="N197" s="2"/>
      <c r="O197" s="2"/>
      <c r="P197" s="2"/>
      <c r="Q197" s="2"/>
      <c r="R197" s="2"/>
      <c r="AK197" s="2"/>
    </row>
    <row r="198" spans="8:37" ht="35.25" x14ac:dyDescent="0.25">
      <c r="H198" s="2"/>
      <c r="I198" s="2"/>
      <c r="J198" s="2"/>
      <c r="K198" s="2"/>
      <c r="L198" s="2"/>
      <c r="M198" s="75"/>
      <c r="N198" s="2"/>
      <c r="O198" s="2"/>
      <c r="P198" s="2"/>
      <c r="Q198" s="2"/>
      <c r="R198" s="2"/>
      <c r="AK198" s="2"/>
    </row>
    <row r="199" spans="8:37" ht="35.25" x14ac:dyDescent="0.25">
      <c r="H199" s="2"/>
      <c r="I199" s="2"/>
      <c r="J199" s="2"/>
      <c r="K199" s="2"/>
      <c r="L199" s="2"/>
      <c r="M199" s="75"/>
      <c r="N199" s="2"/>
      <c r="O199" s="2"/>
      <c r="P199" s="2"/>
      <c r="Q199" s="2"/>
      <c r="R199" s="2"/>
      <c r="AK199" s="2"/>
    </row>
    <row r="200" spans="8:37" ht="35.25" x14ac:dyDescent="0.25">
      <c r="H200" s="2"/>
      <c r="I200" s="2"/>
      <c r="J200" s="2"/>
      <c r="K200" s="2"/>
      <c r="L200" s="2"/>
      <c r="M200" s="75"/>
      <c r="N200" s="2"/>
      <c r="O200" s="2"/>
      <c r="P200" s="2"/>
      <c r="Q200" s="2"/>
      <c r="R200" s="2"/>
      <c r="AK200" s="2"/>
    </row>
    <row r="201" spans="8:37" ht="35.25" x14ac:dyDescent="0.25">
      <c r="H201" s="2"/>
      <c r="I201" s="2"/>
      <c r="J201" s="2"/>
      <c r="K201" s="2"/>
      <c r="L201" s="2"/>
      <c r="M201" s="75"/>
      <c r="N201" s="2"/>
      <c r="O201" s="2"/>
      <c r="P201" s="2"/>
      <c r="Q201" s="2"/>
      <c r="R201" s="2"/>
      <c r="AK201" s="2"/>
    </row>
    <row r="202" spans="8:37" ht="35.25" x14ac:dyDescent="0.25">
      <c r="H202" s="2"/>
      <c r="I202" s="2"/>
      <c r="J202" s="2"/>
      <c r="K202" s="2"/>
      <c r="L202" s="2"/>
      <c r="M202" s="75"/>
      <c r="N202" s="2"/>
      <c r="O202" s="2"/>
      <c r="P202" s="2"/>
      <c r="Q202" s="2"/>
      <c r="R202" s="2"/>
      <c r="AK202" s="2"/>
    </row>
    <row r="203" spans="8:37" ht="35.25" x14ac:dyDescent="0.25">
      <c r="H203" s="2"/>
      <c r="I203" s="2"/>
      <c r="J203" s="2"/>
      <c r="K203" s="2"/>
      <c r="L203" s="2"/>
      <c r="M203" s="75"/>
      <c r="N203" s="2"/>
      <c r="O203" s="2"/>
      <c r="P203" s="2"/>
      <c r="Q203" s="2"/>
      <c r="R203" s="2"/>
      <c r="AK203" s="2"/>
    </row>
    <row r="204" spans="8:37" ht="35.25" x14ac:dyDescent="0.25">
      <c r="H204" s="2"/>
      <c r="I204" s="2"/>
      <c r="J204" s="2"/>
      <c r="K204" s="2"/>
      <c r="L204" s="2"/>
      <c r="M204" s="75"/>
      <c r="N204" s="2"/>
      <c r="O204" s="2"/>
      <c r="P204" s="2"/>
      <c r="Q204" s="2"/>
      <c r="R204" s="2"/>
      <c r="AK204" s="2"/>
    </row>
    <row r="205" spans="8:37" ht="35.25" x14ac:dyDescent="0.25">
      <c r="H205" s="2"/>
      <c r="I205" s="2"/>
      <c r="J205" s="2"/>
      <c r="K205" s="2"/>
      <c r="L205" s="2"/>
      <c r="M205" s="75"/>
      <c r="N205" s="2"/>
      <c r="O205" s="2"/>
      <c r="P205" s="2"/>
      <c r="Q205" s="2"/>
      <c r="R205" s="2"/>
      <c r="AK205" s="2"/>
    </row>
    <row r="206" spans="8:37" ht="35.25" x14ac:dyDescent="0.25">
      <c r="H206" s="2"/>
      <c r="I206" s="2"/>
      <c r="J206" s="2"/>
      <c r="K206" s="2"/>
      <c r="L206" s="2"/>
      <c r="M206" s="75"/>
      <c r="N206" s="2"/>
      <c r="O206" s="2"/>
      <c r="P206" s="2"/>
      <c r="Q206" s="2"/>
      <c r="R206" s="2"/>
      <c r="AK206" s="2"/>
    </row>
    <row r="207" spans="8:37" ht="35.25" x14ac:dyDescent="0.25">
      <c r="H207" s="2"/>
      <c r="I207" s="2"/>
      <c r="J207" s="2"/>
      <c r="K207" s="2"/>
      <c r="L207" s="2"/>
      <c r="M207" s="75"/>
      <c r="N207" s="2"/>
      <c r="O207" s="2"/>
      <c r="P207" s="2"/>
      <c r="Q207" s="2"/>
      <c r="R207" s="2"/>
      <c r="AK207" s="2"/>
    </row>
    <row r="208" spans="8:37" ht="35.25" x14ac:dyDescent="0.25">
      <c r="H208" s="2"/>
      <c r="I208" s="2"/>
      <c r="J208" s="2"/>
      <c r="K208" s="2"/>
      <c r="L208" s="2"/>
      <c r="M208" s="75"/>
      <c r="N208" s="2"/>
      <c r="O208" s="2"/>
      <c r="P208" s="2"/>
      <c r="Q208" s="2"/>
      <c r="R208" s="2"/>
      <c r="AK208" s="2"/>
    </row>
    <row r="209" spans="8:37" ht="35.25" x14ac:dyDescent="0.25">
      <c r="H209" s="2"/>
      <c r="I209" s="2"/>
      <c r="J209" s="2"/>
      <c r="K209" s="2"/>
      <c r="L209" s="2"/>
      <c r="M209" s="75"/>
      <c r="N209" s="2"/>
      <c r="O209" s="2"/>
      <c r="P209" s="2"/>
      <c r="Q209" s="2"/>
      <c r="R209" s="2"/>
      <c r="AK209" s="2"/>
    </row>
    <row r="210" spans="8:37" ht="35.25" x14ac:dyDescent="0.25">
      <c r="H210" s="2"/>
      <c r="I210" s="2"/>
      <c r="J210" s="2"/>
      <c r="K210" s="2"/>
      <c r="L210" s="2"/>
      <c r="M210" s="75"/>
      <c r="N210" s="2"/>
      <c r="O210" s="2"/>
      <c r="P210" s="2"/>
      <c r="Q210" s="2"/>
      <c r="R210" s="2"/>
      <c r="AK210" s="2"/>
    </row>
    <row r="211" spans="8:37" ht="35.25" x14ac:dyDescent="0.25">
      <c r="H211" s="2"/>
      <c r="I211" s="2"/>
      <c r="J211" s="2"/>
      <c r="K211" s="2"/>
      <c r="L211" s="2"/>
      <c r="M211" s="75"/>
      <c r="N211" s="2"/>
      <c r="O211" s="2"/>
      <c r="P211" s="2"/>
      <c r="Q211" s="2"/>
      <c r="R211" s="2"/>
      <c r="AK211" s="2"/>
    </row>
    <row r="212" spans="8:37" ht="35.25" x14ac:dyDescent="0.25">
      <c r="H212" s="2"/>
      <c r="I212" s="2"/>
      <c r="J212" s="2"/>
      <c r="K212" s="2"/>
      <c r="L212" s="2"/>
      <c r="M212" s="75"/>
      <c r="N212" s="2"/>
      <c r="O212" s="2"/>
      <c r="P212" s="2"/>
      <c r="Q212" s="2"/>
      <c r="R212" s="2"/>
      <c r="AK212" s="2"/>
    </row>
    <row r="213" spans="8:37" ht="35.25" x14ac:dyDescent="0.25">
      <c r="H213" s="2"/>
      <c r="I213" s="2"/>
      <c r="J213" s="2"/>
      <c r="K213" s="2"/>
      <c r="L213" s="2"/>
      <c r="M213" s="75"/>
      <c r="N213" s="2"/>
      <c r="O213" s="2"/>
      <c r="P213" s="2"/>
      <c r="Q213" s="2"/>
      <c r="R213" s="2"/>
      <c r="AK213" s="2"/>
    </row>
    <row r="214" spans="8:37" ht="35.25" x14ac:dyDescent="0.25">
      <c r="H214" s="2"/>
      <c r="I214" s="2"/>
      <c r="J214" s="2"/>
      <c r="K214" s="2"/>
      <c r="L214" s="2"/>
      <c r="M214" s="75"/>
      <c r="N214" s="2"/>
      <c r="O214" s="2"/>
      <c r="P214" s="2"/>
      <c r="Q214" s="2"/>
      <c r="R214" s="2"/>
      <c r="AK214" s="2"/>
    </row>
    <row r="215" spans="8:37" ht="35.25" x14ac:dyDescent="0.25">
      <c r="H215" s="2"/>
      <c r="I215" s="2"/>
      <c r="J215" s="2"/>
      <c r="K215" s="2"/>
      <c r="L215" s="2"/>
      <c r="M215" s="75"/>
      <c r="N215" s="2"/>
      <c r="O215" s="2"/>
      <c r="P215" s="2"/>
      <c r="Q215" s="2"/>
      <c r="R215" s="2"/>
      <c r="AK215" s="2"/>
    </row>
    <row r="216" spans="8:37" ht="35.25" x14ac:dyDescent="0.25">
      <c r="H216" s="2"/>
      <c r="I216" s="2"/>
      <c r="J216" s="2"/>
      <c r="K216" s="2"/>
      <c r="L216" s="2"/>
      <c r="M216" s="75"/>
      <c r="N216" s="2"/>
      <c r="O216" s="2"/>
      <c r="P216" s="2"/>
      <c r="Q216" s="2"/>
      <c r="R216" s="2"/>
      <c r="AK216" s="2"/>
    </row>
    <row r="217" spans="8:37" ht="35.25" x14ac:dyDescent="0.25">
      <c r="H217" s="2"/>
      <c r="I217" s="2"/>
      <c r="J217" s="2"/>
      <c r="K217" s="2"/>
      <c r="L217" s="2"/>
      <c r="M217" s="75"/>
      <c r="N217" s="2"/>
      <c r="O217" s="2"/>
      <c r="P217" s="2"/>
      <c r="Q217" s="2"/>
      <c r="R217" s="2"/>
      <c r="AK217" s="2"/>
    </row>
    <row r="218" spans="8:37" ht="35.25" x14ac:dyDescent="0.25">
      <c r="H218" s="2"/>
      <c r="I218" s="2"/>
      <c r="J218" s="2"/>
      <c r="K218" s="2"/>
      <c r="L218" s="2"/>
      <c r="M218" s="75"/>
      <c r="N218" s="2"/>
      <c r="O218" s="2"/>
      <c r="P218" s="2"/>
      <c r="Q218" s="2"/>
      <c r="R218" s="2"/>
      <c r="AK218" s="2"/>
    </row>
    <row r="219" spans="8:37" ht="35.25" x14ac:dyDescent="0.25">
      <c r="H219" s="2"/>
      <c r="I219" s="2"/>
      <c r="J219" s="2"/>
      <c r="K219" s="2"/>
      <c r="L219" s="2"/>
      <c r="M219" s="75"/>
      <c r="N219" s="2"/>
      <c r="O219" s="2"/>
      <c r="P219" s="2"/>
      <c r="Q219" s="2"/>
      <c r="R219" s="2"/>
      <c r="AK219" s="2"/>
    </row>
    <row r="220" spans="8:37" ht="35.25" x14ac:dyDescent="0.25">
      <c r="H220" s="2"/>
      <c r="I220" s="2"/>
      <c r="J220" s="2"/>
      <c r="K220" s="2"/>
      <c r="L220" s="2"/>
      <c r="M220" s="75"/>
      <c r="N220" s="2"/>
      <c r="O220" s="2"/>
      <c r="P220" s="2"/>
      <c r="Q220" s="2"/>
      <c r="R220" s="2"/>
      <c r="AK220" s="2"/>
    </row>
    <row r="221" spans="8:37" ht="35.25" x14ac:dyDescent="0.25">
      <c r="H221" s="2"/>
      <c r="I221" s="2"/>
      <c r="J221" s="2"/>
      <c r="K221" s="2"/>
      <c r="L221" s="2"/>
      <c r="M221" s="75"/>
      <c r="N221" s="2"/>
      <c r="O221" s="2"/>
      <c r="P221" s="2"/>
      <c r="Q221" s="2"/>
      <c r="R221" s="2"/>
      <c r="AK221" s="2"/>
    </row>
    <row r="222" spans="8:37" ht="35.25" x14ac:dyDescent="0.25">
      <c r="H222" s="2"/>
      <c r="I222" s="2"/>
      <c r="J222" s="2"/>
      <c r="K222" s="2"/>
      <c r="L222" s="2"/>
      <c r="M222" s="75"/>
      <c r="N222" s="2"/>
      <c r="O222" s="2"/>
      <c r="P222" s="2"/>
      <c r="Q222" s="2"/>
      <c r="R222" s="2"/>
      <c r="AK222" s="2"/>
    </row>
    <row r="223" spans="8:37" ht="35.25" x14ac:dyDescent="0.25">
      <c r="H223" s="2"/>
      <c r="I223" s="2"/>
      <c r="J223" s="2"/>
      <c r="K223" s="2"/>
      <c r="L223" s="2"/>
      <c r="M223" s="75"/>
      <c r="N223" s="2"/>
      <c r="O223" s="2"/>
      <c r="P223" s="2"/>
      <c r="Q223" s="2"/>
      <c r="R223" s="2"/>
      <c r="AK223" s="2"/>
    </row>
    <row r="224" spans="8:37" ht="35.25" x14ac:dyDescent="0.25">
      <c r="H224" s="2"/>
      <c r="I224" s="2"/>
      <c r="J224" s="2"/>
      <c r="K224" s="2"/>
      <c r="L224" s="2"/>
      <c r="M224" s="75"/>
      <c r="N224" s="2"/>
      <c r="O224" s="2"/>
      <c r="P224" s="2"/>
      <c r="Q224" s="2"/>
      <c r="R224" s="2"/>
      <c r="AK224" s="2"/>
    </row>
    <row r="225" spans="8:37" ht="35.25" x14ac:dyDescent="0.25">
      <c r="H225" s="2"/>
      <c r="I225" s="2"/>
      <c r="J225" s="2"/>
      <c r="K225" s="2"/>
      <c r="L225" s="2"/>
      <c r="M225" s="75"/>
      <c r="N225" s="2"/>
      <c r="O225" s="2"/>
      <c r="P225" s="2"/>
      <c r="Q225" s="2"/>
      <c r="R225" s="2"/>
      <c r="AK225" s="2"/>
    </row>
    <row r="226" spans="8:37" ht="35.25" x14ac:dyDescent="0.25">
      <c r="H226" s="2"/>
      <c r="I226" s="2"/>
      <c r="J226" s="2"/>
      <c r="K226" s="2"/>
      <c r="L226" s="2"/>
      <c r="M226" s="75"/>
      <c r="N226" s="2"/>
      <c r="O226" s="2"/>
      <c r="P226" s="2"/>
      <c r="Q226" s="2"/>
      <c r="R226" s="2"/>
      <c r="AK226" s="2"/>
    </row>
    <row r="227" spans="8:37" ht="35.25" x14ac:dyDescent="0.25">
      <c r="H227" s="2"/>
      <c r="I227" s="2"/>
      <c r="J227" s="2"/>
      <c r="K227" s="2"/>
      <c r="L227" s="2"/>
      <c r="M227" s="75"/>
      <c r="N227" s="2"/>
      <c r="O227" s="2"/>
      <c r="P227" s="2"/>
      <c r="Q227" s="2"/>
      <c r="R227" s="2"/>
      <c r="AK227" s="2"/>
    </row>
    <row r="228" spans="8:37" ht="35.25" x14ac:dyDescent="0.25">
      <c r="H228" s="2"/>
      <c r="I228" s="2"/>
      <c r="J228" s="2"/>
      <c r="K228" s="2"/>
      <c r="L228" s="2"/>
      <c r="M228" s="75"/>
      <c r="N228" s="2"/>
      <c r="O228" s="2"/>
      <c r="P228" s="2"/>
      <c r="Q228" s="2"/>
      <c r="R228" s="2"/>
      <c r="AK228" s="2"/>
    </row>
    <row r="229" spans="8:37" ht="35.25" x14ac:dyDescent="0.25">
      <c r="H229" s="2"/>
      <c r="I229" s="2"/>
      <c r="J229" s="2"/>
      <c r="K229" s="2"/>
      <c r="L229" s="2"/>
      <c r="M229" s="75"/>
      <c r="N229" s="2"/>
      <c r="O229" s="2"/>
      <c r="P229" s="2"/>
      <c r="Q229" s="2"/>
      <c r="R229" s="2"/>
      <c r="AK229" s="2"/>
    </row>
    <row r="230" spans="8:37" ht="35.25" x14ac:dyDescent="0.25">
      <c r="H230" s="2"/>
      <c r="I230" s="2"/>
      <c r="J230" s="2"/>
      <c r="K230" s="2"/>
      <c r="L230" s="2"/>
      <c r="M230" s="75"/>
      <c r="N230" s="2"/>
      <c r="O230" s="2"/>
      <c r="P230" s="2"/>
      <c r="Q230" s="2"/>
      <c r="R230" s="2"/>
      <c r="AK230" s="2"/>
    </row>
    <row r="231" spans="8:37" ht="35.25" x14ac:dyDescent="0.25">
      <c r="H231" s="2"/>
      <c r="I231" s="2"/>
      <c r="J231" s="2"/>
      <c r="K231" s="2"/>
      <c r="L231" s="2"/>
      <c r="M231" s="75"/>
      <c r="N231" s="2"/>
      <c r="O231" s="2"/>
      <c r="P231" s="2"/>
      <c r="Q231" s="2"/>
      <c r="R231" s="2"/>
      <c r="AK231" s="2"/>
    </row>
    <row r="232" spans="8:37" ht="35.25" x14ac:dyDescent="0.25">
      <c r="H232" s="2"/>
      <c r="I232" s="2"/>
      <c r="J232" s="2"/>
      <c r="K232" s="2"/>
      <c r="L232" s="2"/>
      <c r="M232" s="75"/>
      <c r="N232" s="2"/>
      <c r="O232" s="2"/>
      <c r="P232" s="2"/>
      <c r="Q232" s="2"/>
      <c r="R232" s="2"/>
      <c r="AK232" s="2"/>
    </row>
    <row r="233" spans="8:37" ht="35.25" x14ac:dyDescent="0.25">
      <c r="H233" s="2"/>
      <c r="I233" s="2"/>
      <c r="J233" s="2"/>
      <c r="K233" s="2"/>
      <c r="L233" s="2"/>
      <c r="M233" s="75"/>
      <c r="N233" s="2"/>
      <c r="O233" s="2"/>
      <c r="P233" s="2"/>
      <c r="Q233" s="2"/>
      <c r="R233" s="2"/>
      <c r="AK233" s="2"/>
    </row>
    <row r="234" spans="8:37" ht="35.25" x14ac:dyDescent="0.25">
      <c r="H234" s="2"/>
      <c r="I234" s="2"/>
      <c r="J234" s="2"/>
      <c r="K234" s="2"/>
      <c r="L234" s="2"/>
      <c r="M234" s="75"/>
      <c r="N234" s="2"/>
      <c r="O234" s="2"/>
      <c r="P234" s="2"/>
      <c r="Q234" s="2"/>
      <c r="R234" s="2"/>
      <c r="AK234" s="2"/>
    </row>
    <row r="235" spans="8:37" ht="35.25" x14ac:dyDescent="0.25">
      <c r="H235" s="2"/>
      <c r="I235" s="2"/>
      <c r="J235" s="2"/>
      <c r="K235" s="2"/>
      <c r="L235" s="2"/>
      <c r="M235" s="75"/>
      <c r="N235" s="2"/>
      <c r="O235" s="2"/>
      <c r="P235" s="2"/>
      <c r="Q235" s="2"/>
      <c r="R235" s="2"/>
      <c r="AK235" s="2"/>
    </row>
    <row r="236" spans="8:37" ht="35.25" x14ac:dyDescent="0.25">
      <c r="H236" s="2"/>
      <c r="I236" s="2"/>
      <c r="J236" s="2"/>
      <c r="K236" s="2"/>
      <c r="L236" s="2"/>
      <c r="M236" s="75"/>
      <c r="N236" s="2"/>
      <c r="O236" s="2"/>
      <c r="P236" s="2"/>
      <c r="Q236" s="2"/>
      <c r="R236" s="2"/>
      <c r="AK236" s="2"/>
    </row>
    <row r="237" spans="8:37" ht="35.25" x14ac:dyDescent="0.25">
      <c r="H237" s="2"/>
      <c r="I237" s="2"/>
      <c r="J237" s="2"/>
      <c r="K237" s="2"/>
      <c r="L237" s="2"/>
      <c r="M237" s="75"/>
      <c r="N237" s="2"/>
      <c r="O237" s="2"/>
      <c r="P237" s="2"/>
      <c r="Q237" s="2"/>
      <c r="R237" s="2"/>
      <c r="AK237" s="2"/>
    </row>
    <row r="238" spans="8:37" ht="35.25" x14ac:dyDescent="0.25">
      <c r="H238" s="2"/>
      <c r="I238" s="2"/>
      <c r="J238" s="2"/>
      <c r="K238" s="2"/>
      <c r="L238" s="2"/>
      <c r="M238" s="75"/>
      <c r="N238" s="2"/>
      <c r="O238" s="2"/>
      <c r="P238" s="2"/>
      <c r="Q238" s="2"/>
      <c r="R238" s="2"/>
      <c r="AK238" s="2"/>
    </row>
    <row r="239" spans="8:37" ht="35.25" x14ac:dyDescent="0.25">
      <c r="H239" s="2"/>
      <c r="I239" s="2"/>
      <c r="J239" s="2"/>
      <c r="K239" s="2"/>
      <c r="L239" s="2"/>
      <c r="M239" s="75"/>
      <c r="N239" s="2"/>
      <c r="O239" s="2"/>
      <c r="P239" s="2"/>
      <c r="Q239" s="2"/>
      <c r="R239" s="2"/>
      <c r="AK239" s="2"/>
    </row>
    <row r="240" spans="8:37" ht="35.25" x14ac:dyDescent="0.25">
      <c r="H240" s="2"/>
      <c r="I240" s="2"/>
      <c r="J240" s="2"/>
      <c r="K240" s="2"/>
      <c r="L240" s="2"/>
      <c r="M240" s="75"/>
      <c r="N240" s="2"/>
      <c r="O240" s="2"/>
      <c r="P240" s="2"/>
      <c r="Q240" s="2"/>
      <c r="R240" s="2"/>
      <c r="AK240" s="2"/>
    </row>
    <row r="241" spans="8:37" ht="35.25" x14ac:dyDescent="0.25">
      <c r="H241" s="2"/>
      <c r="I241" s="2"/>
      <c r="J241" s="2"/>
      <c r="K241" s="2"/>
      <c r="L241" s="2"/>
      <c r="M241" s="75"/>
      <c r="N241" s="2"/>
      <c r="O241" s="2"/>
      <c r="P241" s="2"/>
      <c r="Q241" s="2"/>
      <c r="R241" s="2"/>
      <c r="AK241" s="2"/>
    </row>
    <row r="242" spans="8:37" ht="35.25" x14ac:dyDescent="0.25">
      <c r="H242" s="2"/>
      <c r="I242" s="2"/>
      <c r="J242" s="2"/>
      <c r="K242" s="2"/>
      <c r="L242" s="2"/>
      <c r="M242" s="75"/>
      <c r="N242" s="2"/>
      <c r="O242" s="2"/>
      <c r="P242" s="2"/>
      <c r="Q242" s="2"/>
      <c r="R242" s="2"/>
      <c r="AK242" s="2"/>
    </row>
    <row r="243" spans="8:37" ht="35.25" x14ac:dyDescent="0.25">
      <c r="H243" s="2"/>
      <c r="I243" s="2"/>
      <c r="J243" s="2"/>
      <c r="K243" s="2"/>
      <c r="L243" s="2"/>
      <c r="M243" s="75"/>
      <c r="N243" s="2"/>
      <c r="O243" s="2"/>
      <c r="P243" s="2"/>
      <c r="Q243" s="2"/>
      <c r="R243" s="2"/>
      <c r="AK243" s="2"/>
    </row>
    <row r="244" spans="8:37" ht="35.25" x14ac:dyDescent="0.25">
      <c r="H244" s="2"/>
      <c r="I244" s="2"/>
      <c r="J244" s="2"/>
      <c r="K244" s="2"/>
      <c r="L244" s="2"/>
      <c r="M244" s="75"/>
      <c r="N244" s="2"/>
      <c r="O244" s="2"/>
      <c r="P244" s="2"/>
      <c r="Q244" s="2"/>
      <c r="R244" s="2"/>
      <c r="AK244" s="2"/>
    </row>
    <row r="245" spans="8:37" ht="35.25" x14ac:dyDescent="0.25">
      <c r="H245" s="2"/>
      <c r="I245" s="2"/>
      <c r="J245" s="2"/>
      <c r="K245" s="2"/>
      <c r="L245" s="2"/>
      <c r="M245" s="75"/>
      <c r="N245" s="2"/>
      <c r="O245" s="2"/>
      <c r="P245" s="2"/>
      <c r="Q245" s="2"/>
      <c r="R245" s="2"/>
      <c r="AK245" s="2"/>
    </row>
    <row r="246" spans="8:37" ht="35.25" x14ac:dyDescent="0.25">
      <c r="H246" s="2"/>
      <c r="I246" s="2"/>
      <c r="J246" s="2"/>
      <c r="K246" s="2"/>
      <c r="L246" s="2"/>
      <c r="M246" s="75"/>
      <c r="N246" s="2"/>
      <c r="O246" s="2"/>
      <c r="P246" s="2"/>
      <c r="Q246" s="2"/>
      <c r="R246" s="2"/>
      <c r="AK246" s="2"/>
    </row>
    <row r="247" spans="8:37" ht="35.25" x14ac:dyDescent="0.25">
      <c r="H247" s="2"/>
      <c r="I247" s="2"/>
      <c r="J247" s="2"/>
      <c r="K247" s="2"/>
      <c r="L247" s="2"/>
      <c r="M247" s="75"/>
      <c r="N247" s="2"/>
      <c r="O247" s="2"/>
      <c r="P247" s="2"/>
      <c r="Q247" s="2"/>
      <c r="R247" s="2"/>
      <c r="AK247" s="2"/>
    </row>
    <row r="248" spans="8:37" ht="35.25" x14ac:dyDescent="0.25">
      <c r="H248" s="2"/>
      <c r="I248" s="2"/>
      <c r="J248" s="2"/>
      <c r="K248" s="2"/>
      <c r="L248" s="2"/>
      <c r="M248" s="75"/>
      <c r="N248" s="2"/>
      <c r="O248" s="2"/>
      <c r="P248" s="2"/>
      <c r="Q248" s="2"/>
      <c r="R248" s="2"/>
      <c r="AK248" s="2"/>
    </row>
    <row r="249" spans="8:37" ht="35.25" x14ac:dyDescent="0.25">
      <c r="H249" s="2"/>
      <c r="I249" s="2"/>
      <c r="J249" s="2"/>
      <c r="K249" s="2"/>
      <c r="L249" s="2"/>
      <c r="M249" s="75"/>
      <c r="N249" s="2"/>
      <c r="O249" s="2"/>
      <c r="P249" s="2"/>
      <c r="Q249" s="2"/>
      <c r="R249" s="2"/>
      <c r="AK249" s="2"/>
    </row>
    <row r="250" spans="8:37" ht="35.25" x14ac:dyDescent="0.25">
      <c r="H250" s="2"/>
      <c r="I250" s="2"/>
      <c r="J250" s="2"/>
      <c r="K250" s="2"/>
      <c r="L250" s="2"/>
      <c r="M250" s="75"/>
      <c r="N250" s="2"/>
      <c r="O250" s="2"/>
      <c r="P250" s="2"/>
      <c r="Q250" s="2"/>
      <c r="R250" s="2"/>
      <c r="AK250" s="2"/>
    </row>
    <row r="251" spans="8:37" ht="35.25" x14ac:dyDescent="0.25">
      <c r="H251" s="2"/>
      <c r="I251" s="2"/>
      <c r="J251" s="2"/>
      <c r="K251" s="2"/>
      <c r="L251" s="2"/>
      <c r="M251" s="75"/>
      <c r="N251" s="2"/>
      <c r="O251" s="2"/>
      <c r="P251" s="2"/>
      <c r="Q251" s="2"/>
      <c r="R251" s="2"/>
      <c r="AK251" s="2"/>
    </row>
    <row r="252" spans="8:37" ht="35.25" x14ac:dyDescent="0.25">
      <c r="H252" s="2"/>
      <c r="I252" s="2"/>
      <c r="J252" s="2"/>
      <c r="K252" s="2"/>
      <c r="L252" s="2"/>
      <c r="M252" s="75"/>
      <c r="N252" s="2"/>
      <c r="O252" s="2"/>
      <c r="P252" s="2"/>
      <c r="Q252" s="2"/>
      <c r="R252" s="2"/>
      <c r="AK252" s="2"/>
    </row>
    <row r="253" spans="8:37" ht="35.25" x14ac:dyDescent="0.25">
      <c r="H253" s="2"/>
      <c r="I253" s="2"/>
      <c r="J253" s="2"/>
      <c r="K253" s="2"/>
      <c r="L253" s="2"/>
      <c r="M253" s="75"/>
      <c r="N253" s="2"/>
      <c r="O253" s="2"/>
      <c r="P253" s="2"/>
      <c r="Q253" s="2"/>
      <c r="R253" s="2"/>
      <c r="AK253" s="2"/>
    </row>
    <row r="254" spans="8:37" ht="35.25" x14ac:dyDescent="0.25">
      <c r="H254" s="2"/>
      <c r="I254" s="2"/>
      <c r="J254" s="2"/>
      <c r="K254" s="2"/>
      <c r="L254" s="2"/>
      <c r="M254" s="75"/>
      <c r="N254" s="2"/>
      <c r="O254" s="2"/>
      <c r="P254" s="2"/>
      <c r="Q254" s="2"/>
      <c r="R254" s="2"/>
      <c r="AK254" s="2"/>
    </row>
    <row r="255" spans="8:37" ht="35.25" x14ac:dyDescent="0.25">
      <c r="H255" s="2"/>
      <c r="I255" s="2"/>
      <c r="J255" s="2"/>
      <c r="K255" s="2"/>
      <c r="L255" s="2"/>
      <c r="M255" s="75"/>
      <c r="N255" s="2"/>
      <c r="O255" s="2"/>
      <c r="P255" s="2"/>
      <c r="Q255" s="2"/>
      <c r="R255" s="2"/>
      <c r="AK255" s="2"/>
    </row>
    <row r="256" spans="8:37" ht="35.25" x14ac:dyDescent="0.25">
      <c r="H256" s="2"/>
      <c r="I256" s="2"/>
      <c r="J256" s="2"/>
      <c r="K256" s="2"/>
      <c r="L256" s="2"/>
      <c r="M256" s="75"/>
      <c r="N256" s="2"/>
      <c r="O256" s="2"/>
      <c r="P256" s="2"/>
      <c r="Q256" s="2"/>
      <c r="R256" s="2"/>
      <c r="AK256" s="2"/>
    </row>
    <row r="257" spans="8:37" ht="35.25" x14ac:dyDescent="0.25">
      <c r="H257" s="2"/>
      <c r="I257" s="2"/>
      <c r="J257" s="2"/>
      <c r="K257" s="2"/>
      <c r="L257" s="2"/>
      <c r="M257" s="75"/>
      <c r="N257" s="2"/>
      <c r="O257" s="2"/>
      <c r="P257" s="2"/>
      <c r="Q257" s="2"/>
      <c r="R257" s="2"/>
      <c r="AK257" s="2"/>
    </row>
    <row r="258" spans="8:37" ht="35.25" x14ac:dyDescent="0.25">
      <c r="H258" s="2"/>
      <c r="I258" s="2"/>
      <c r="J258" s="2"/>
      <c r="K258" s="2"/>
      <c r="L258" s="2"/>
      <c r="M258" s="75"/>
      <c r="N258" s="2"/>
      <c r="O258" s="2"/>
      <c r="P258" s="2"/>
      <c r="Q258" s="2"/>
      <c r="R258" s="2"/>
      <c r="AK258" s="2"/>
    </row>
    <row r="259" spans="8:37" ht="35.25" x14ac:dyDescent="0.25">
      <c r="H259" s="2"/>
      <c r="I259" s="2"/>
      <c r="J259" s="2"/>
      <c r="K259" s="2"/>
      <c r="L259" s="2"/>
      <c r="M259" s="75"/>
      <c r="N259" s="2"/>
      <c r="O259" s="2"/>
      <c r="P259" s="2"/>
      <c r="Q259" s="2"/>
      <c r="R259" s="2"/>
      <c r="AK259" s="2"/>
    </row>
    <row r="260" spans="8:37" ht="35.25" x14ac:dyDescent="0.25">
      <c r="H260" s="2"/>
      <c r="I260" s="2"/>
      <c r="J260" s="2"/>
      <c r="K260" s="2"/>
      <c r="L260" s="2"/>
      <c r="M260" s="75"/>
      <c r="N260" s="2"/>
      <c r="O260" s="2"/>
      <c r="P260" s="2"/>
      <c r="Q260" s="2"/>
      <c r="R260" s="2"/>
      <c r="AK260" s="2"/>
    </row>
    <row r="261" spans="8:37" ht="35.25" x14ac:dyDescent="0.25">
      <c r="H261" s="2"/>
      <c r="I261" s="2"/>
      <c r="J261" s="2"/>
      <c r="K261" s="2"/>
      <c r="L261" s="2"/>
      <c r="M261" s="75"/>
      <c r="N261" s="2"/>
      <c r="O261" s="2"/>
      <c r="P261" s="2"/>
      <c r="Q261" s="2"/>
      <c r="R261" s="2"/>
      <c r="AK261" s="2"/>
    </row>
    <row r="262" spans="8:37" ht="35.25" x14ac:dyDescent="0.25">
      <c r="H262" s="2"/>
      <c r="I262" s="2"/>
      <c r="J262" s="2"/>
      <c r="K262" s="2"/>
      <c r="L262" s="2"/>
      <c r="M262" s="75"/>
      <c r="N262" s="2"/>
      <c r="O262" s="2"/>
      <c r="P262" s="2"/>
      <c r="Q262" s="2"/>
      <c r="R262" s="2"/>
      <c r="AK262" s="2"/>
    </row>
    <row r="263" spans="8:37" ht="35.25" x14ac:dyDescent="0.25">
      <c r="H263" s="2"/>
      <c r="I263" s="2"/>
      <c r="J263" s="2"/>
      <c r="K263" s="2"/>
      <c r="L263" s="2"/>
      <c r="M263" s="75"/>
      <c r="N263" s="2"/>
      <c r="O263" s="2"/>
      <c r="P263" s="2"/>
      <c r="Q263" s="2"/>
      <c r="R263" s="2"/>
      <c r="AK263" s="2"/>
    </row>
    <row r="264" spans="8:37" ht="35.25" x14ac:dyDescent="0.25">
      <c r="H264" s="2"/>
      <c r="I264" s="2"/>
      <c r="J264" s="2"/>
      <c r="K264" s="2"/>
      <c r="L264" s="2"/>
      <c r="M264" s="75"/>
      <c r="N264" s="2"/>
      <c r="O264" s="2"/>
      <c r="P264" s="2"/>
      <c r="Q264" s="2"/>
      <c r="R264" s="2"/>
      <c r="AK264" s="2"/>
    </row>
    <row r="265" spans="8:37" ht="35.25" x14ac:dyDescent="0.25">
      <c r="H265" s="2"/>
      <c r="I265" s="2"/>
      <c r="J265" s="2"/>
      <c r="K265" s="2"/>
      <c r="L265" s="2"/>
      <c r="M265" s="75"/>
      <c r="N265" s="2"/>
      <c r="O265" s="2"/>
      <c r="P265" s="2"/>
      <c r="Q265" s="2"/>
      <c r="R265" s="2"/>
      <c r="AK265" s="2"/>
    </row>
    <row r="266" spans="8:37" ht="35.25" x14ac:dyDescent="0.25">
      <c r="H266" s="2"/>
      <c r="I266" s="2"/>
      <c r="J266" s="2"/>
      <c r="K266" s="2"/>
      <c r="L266" s="2"/>
      <c r="M266" s="75"/>
      <c r="N266" s="2"/>
      <c r="O266" s="2"/>
      <c r="P266" s="2"/>
      <c r="Q266" s="2"/>
      <c r="R266" s="2"/>
      <c r="AK266" s="2"/>
    </row>
    <row r="267" spans="8:37" ht="35.25" x14ac:dyDescent="0.25">
      <c r="H267" s="2"/>
      <c r="I267" s="2"/>
      <c r="J267" s="2"/>
      <c r="K267" s="2"/>
      <c r="L267" s="2"/>
      <c r="M267" s="75"/>
      <c r="N267" s="2"/>
      <c r="O267" s="2"/>
      <c r="P267" s="2"/>
      <c r="Q267" s="2"/>
      <c r="R267" s="2"/>
      <c r="AK267" s="2"/>
    </row>
    <row r="268" spans="8:37" ht="35.25" x14ac:dyDescent="0.25">
      <c r="H268" s="2"/>
      <c r="I268" s="2"/>
      <c r="J268" s="2"/>
      <c r="K268" s="2"/>
      <c r="L268" s="2"/>
      <c r="M268" s="75"/>
      <c r="N268" s="2"/>
      <c r="O268" s="2"/>
      <c r="P268" s="2"/>
      <c r="Q268" s="2"/>
      <c r="R268" s="2"/>
      <c r="AK268" s="2"/>
    </row>
    <row r="269" spans="8:37" ht="35.25" x14ac:dyDescent="0.25">
      <c r="H269" s="2"/>
      <c r="I269" s="2"/>
      <c r="J269" s="2"/>
      <c r="K269" s="2"/>
      <c r="L269" s="2"/>
      <c r="M269" s="75"/>
      <c r="N269" s="2"/>
      <c r="O269" s="2"/>
      <c r="P269" s="2"/>
      <c r="Q269" s="2"/>
      <c r="R269" s="2"/>
      <c r="AK269" s="2"/>
    </row>
    <row r="270" spans="8:37" ht="35.25" x14ac:dyDescent="0.25">
      <c r="H270" s="2"/>
      <c r="I270" s="2"/>
      <c r="J270" s="2"/>
      <c r="K270" s="2"/>
      <c r="L270" s="2"/>
      <c r="M270" s="75"/>
      <c r="N270" s="2"/>
      <c r="O270" s="2"/>
      <c r="P270" s="2"/>
      <c r="Q270" s="2"/>
      <c r="R270" s="2"/>
      <c r="AK270" s="2"/>
    </row>
    <row r="271" spans="8:37" ht="35.25" x14ac:dyDescent="0.25">
      <c r="H271" s="2"/>
      <c r="I271" s="2"/>
      <c r="J271" s="2"/>
      <c r="K271" s="2"/>
      <c r="L271" s="2"/>
      <c r="M271" s="75"/>
      <c r="N271" s="2"/>
      <c r="O271" s="2"/>
      <c r="P271" s="2"/>
      <c r="Q271" s="2"/>
      <c r="R271" s="2"/>
      <c r="AK271" s="2"/>
    </row>
    <row r="272" spans="8:37" ht="35.25" x14ac:dyDescent="0.25">
      <c r="H272" s="2"/>
      <c r="I272" s="2"/>
      <c r="J272" s="2"/>
      <c r="K272" s="2"/>
      <c r="L272" s="2"/>
      <c r="M272" s="75"/>
      <c r="N272" s="2"/>
      <c r="O272" s="2"/>
      <c r="P272" s="2"/>
      <c r="Q272" s="2"/>
      <c r="R272" s="2"/>
      <c r="AK272" s="2"/>
    </row>
    <row r="273" spans="8:37" ht="35.25" x14ac:dyDescent="0.25">
      <c r="H273" s="2"/>
      <c r="I273" s="2"/>
      <c r="J273" s="2"/>
      <c r="K273" s="2"/>
      <c r="L273" s="2"/>
      <c r="M273" s="75"/>
      <c r="N273" s="2"/>
      <c r="O273" s="2"/>
      <c r="P273" s="2"/>
      <c r="Q273" s="2"/>
      <c r="R273" s="2"/>
      <c r="AK273" s="2"/>
    </row>
    <row r="274" spans="8:37" ht="35.25" x14ac:dyDescent="0.25">
      <c r="H274" s="2"/>
      <c r="I274" s="2"/>
      <c r="J274" s="2"/>
      <c r="K274" s="2"/>
      <c r="L274" s="2"/>
      <c r="M274" s="75"/>
      <c r="N274" s="2"/>
      <c r="O274" s="2"/>
      <c r="P274" s="2"/>
      <c r="Q274" s="2"/>
      <c r="R274" s="2"/>
      <c r="AK274" s="2"/>
    </row>
    <row r="275" spans="8:37" ht="35.25" x14ac:dyDescent="0.25">
      <c r="H275" s="2"/>
      <c r="I275" s="2"/>
      <c r="J275" s="2"/>
      <c r="K275" s="2"/>
      <c r="L275" s="2"/>
      <c r="M275" s="75"/>
      <c r="N275" s="2"/>
      <c r="O275" s="2"/>
      <c r="P275" s="2"/>
      <c r="Q275" s="2"/>
      <c r="R275" s="2"/>
      <c r="AK275" s="2"/>
    </row>
    <row r="276" spans="8:37" ht="35.25" x14ac:dyDescent="0.25">
      <c r="H276" s="2"/>
      <c r="I276" s="2"/>
      <c r="J276" s="2"/>
      <c r="K276" s="2"/>
      <c r="L276" s="2"/>
      <c r="M276" s="75"/>
      <c r="N276" s="2"/>
      <c r="O276" s="2"/>
      <c r="P276" s="2"/>
      <c r="Q276" s="2"/>
      <c r="R276" s="2"/>
      <c r="AK276" s="2"/>
    </row>
    <row r="277" spans="8:37" ht="35.25" x14ac:dyDescent="0.25">
      <c r="H277" s="2"/>
      <c r="I277" s="2"/>
      <c r="J277" s="2"/>
      <c r="K277" s="2"/>
      <c r="L277" s="2"/>
      <c r="M277" s="75"/>
      <c r="N277" s="2"/>
      <c r="O277" s="2"/>
      <c r="P277" s="2"/>
      <c r="Q277" s="2"/>
      <c r="R277" s="2"/>
      <c r="AK277" s="2"/>
    </row>
    <row r="278" spans="8:37" ht="35.25" x14ac:dyDescent="0.25">
      <c r="H278" s="2"/>
      <c r="I278" s="2"/>
      <c r="J278" s="2"/>
      <c r="K278" s="2"/>
      <c r="L278" s="2"/>
      <c r="M278" s="75"/>
      <c r="N278" s="2"/>
      <c r="O278" s="2"/>
      <c r="P278" s="2"/>
      <c r="Q278" s="2"/>
      <c r="R278" s="2"/>
      <c r="AK278" s="2"/>
    </row>
    <row r="279" spans="8:37" ht="35.25" x14ac:dyDescent="0.25">
      <c r="H279" s="2"/>
      <c r="I279" s="2"/>
      <c r="J279" s="2"/>
      <c r="K279" s="2"/>
      <c r="L279" s="2"/>
      <c r="M279" s="75"/>
      <c r="N279" s="2"/>
      <c r="O279" s="2"/>
      <c r="P279" s="2"/>
      <c r="Q279" s="2"/>
      <c r="R279" s="2"/>
      <c r="AK279" s="2"/>
    </row>
    <row r="280" spans="8:37" ht="35.25" x14ac:dyDescent="0.25">
      <c r="H280" s="2"/>
      <c r="I280" s="2"/>
      <c r="J280" s="2"/>
      <c r="K280" s="2"/>
      <c r="L280" s="2"/>
      <c r="M280" s="75"/>
      <c r="N280" s="2"/>
      <c r="O280" s="2"/>
      <c r="P280" s="2"/>
      <c r="Q280" s="2"/>
      <c r="R280" s="2"/>
      <c r="AK280" s="2"/>
    </row>
    <row r="281" spans="8:37" ht="35.25" x14ac:dyDescent="0.25">
      <c r="H281" s="2"/>
      <c r="I281" s="2"/>
      <c r="J281" s="2"/>
      <c r="K281" s="2"/>
      <c r="L281" s="2"/>
      <c r="M281" s="75"/>
      <c r="N281" s="2"/>
      <c r="O281" s="2"/>
      <c r="P281" s="2"/>
      <c r="Q281" s="2"/>
      <c r="R281" s="2"/>
      <c r="AK281" s="2"/>
    </row>
    <row r="282" spans="8:37" ht="35.25" x14ac:dyDescent="0.25">
      <c r="H282" s="2"/>
      <c r="I282" s="2"/>
      <c r="J282" s="2"/>
      <c r="K282" s="2"/>
      <c r="L282" s="2"/>
      <c r="M282" s="75"/>
      <c r="N282" s="2"/>
      <c r="O282" s="2"/>
      <c r="P282" s="2"/>
      <c r="Q282" s="2"/>
      <c r="R282" s="2"/>
      <c r="AK282" s="2"/>
    </row>
    <row r="283" spans="8:37" ht="35.25" x14ac:dyDescent="0.25">
      <c r="H283" s="2"/>
      <c r="I283" s="2"/>
      <c r="J283" s="2"/>
      <c r="K283" s="2"/>
      <c r="L283" s="2"/>
      <c r="M283" s="75"/>
      <c r="N283" s="2"/>
      <c r="O283" s="2"/>
      <c r="P283" s="2"/>
      <c r="Q283" s="2"/>
      <c r="R283" s="2"/>
      <c r="AK283" s="2"/>
    </row>
    <row r="284" spans="8:37" ht="35.25" x14ac:dyDescent="0.25">
      <c r="H284" s="2"/>
      <c r="I284" s="2"/>
      <c r="J284" s="2"/>
      <c r="K284" s="2"/>
      <c r="L284" s="2"/>
      <c r="M284" s="75"/>
      <c r="N284" s="2"/>
      <c r="O284" s="2"/>
      <c r="P284" s="2"/>
      <c r="Q284" s="2"/>
      <c r="R284" s="2"/>
      <c r="AK284" s="2"/>
    </row>
    <row r="285" spans="8:37" ht="35.25" x14ac:dyDescent="0.25">
      <c r="H285" s="2"/>
      <c r="I285" s="2"/>
      <c r="J285" s="2"/>
      <c r="K285" s="2"/>
      <c r="L285" s="2"/>
      <c r="M285" s="75"/>
      <c r="N285" s="2"/>
      <c r="O285" s="2"/>
      <c r="P285" s="2"/>
      <c r="Q285" s="2"/>
      <c r="R285" s="2"/>
      <c r="AK285" s="2"/>
    </row>
    <row r="286" spans="8:37" ht="35.25" x14ac:dyDescent="0.25">
      <c r="H286" s="2"/>
      <c r="I286" s="2"/>
      <c r="J286" s="2"/>
      <c r="K286" s="2"/>
      <c r="L286" s="2"/>
      <c r="M286" s="75"/>
      <c r="N286" s="2"/>
      <c r="O286" s="2"/>
      <c r="P286" s="2"/>
      <c r="Q286" s="2"/>
      <c r="R286" s="2"/>
      <c r="AK286" s="2"/>
    </row>
    <row r="287" spans="8:37" ht="35.25" x14ac:dyDescent="0.25">
      <c r="H287" s="2"/>
      <c r="I287" s="2"/>
      <c r="J287" s="2"/>
      <c r="K287" s="2"/>
      <c r="L287" s="2"/>
      <c r="M287" s="75"/>
      <c r="N287" s="2"/>
      <c r="O287" s="2"/>
      <c r="P287" s="2"/>
      <c r="Q287" s="2"/>
      <c r="R287" s="2"/>
      <c r="AK287" s="2"/>
    </row>
    <row r="288" spans="8:37" ht="35.25" x14ac:dyDescent="0.25">
      <c r="H288" s="2"/>
      <c r="I288" s="2"/>
      <c r="J288" s="2"/>
      <c r="K288" s="2"/>
      <c r="L288" s="2"/>
      <c r="M288" s="75"/>
      <c r="N288" s="2"/>
      <c r="O288" s="2"/>
      <c r="P288" s="2"/>
      <c r="Q288" s="2"/>
      <c r="R288" s="2"/>
      <c r="AK288" s="2"/>
    </row>
    <row r="289" spans="8:37" ht="35.25" x14ac:dyDescent="0.25">
      <c r="H289" s="2"/>
      <c r="I289" s="2"/>
      <c r="J289" s="2"/>
      <c r="K289" s="2"/>
      <c r="L289" s="2"/>
      <c r="M289" s="75"/>
      <c r="N289" s="2"/>
      <c r="O289" s="2"/>
      <c r="P289" s="2"/>
      <c r="Q289" s="2"/>
      <c r="R289" s="2"/>
      <c r="AK289" s="2"/>
    </row>
    <row r="290" spans="8:37" ht="35.25" x14ac:dyDescent="0.25">
      <c r="H290" s="2"/>
      <c r="I290" s="2"/>
      <c r="J290" s="2"/>
      <c r="K290" s="2"/>
      <c r="L290" s="2"/>
      <c r="M290" s="75"/>
      <c r="N290" s="2"/>
      <c r="O290" s="2"/>
      <c r="P290" s="2"/>
      <c r="Q290" s="2"/>
      <c r="R290" s="2"/>
      <c r="AK290" s="2"/>
    </row>
    <row r="291" spans="8:37" ht="35.25" x14ac:dyDescent="0.25">
      <c r="H291" s="2"/>
      <c r="I291" s="2"/>
      <c r="J291" s="2"/>
      <c r="K291" s="2"/>
      <c r="L291" s="2"/>
      <c r="M291" s="75"/>
      <c r="N291" s="2"/>
      <c r="O291" s="2"/>
      <c r="P291" s="2"/>
      <c r="Q291" s="2"/>
      <c r="R291" s="2"/>
      <c r="AK291" s="2"/>
    </row>
    <row r="292" spans="8:37" ht="35.25" x14ac:dyDescent="0.25">
      <c r="H292" s="2"/>
      <c r="I292" s="2"/>
      <c r="J292" s="2"/>
      <c r="K292" s="2"/>
      <c r="L292" s="2"/>
      <c r="M292" s="75"/>
      <c r="N292" s="2"/>
      <c r="O292" s="2"/>
      <c r="P292" s="2"/>
      <c r="Q292" s="2"/>
      <c r="R292" s="2"/>
      <c r="AK292" s="2"/>
    </row>
    <row r="293" spans="8:37" ht="35.25" x14ac:dyDescent="0.25">
      <c r="H293" s="2"/>
      <c r="I293" s="2"/>
      <c r="J293" s="2"/>
      <c r="K293" s="2"/>
      <c r="L293" s="2"/>
      <c r="M293" s="75"/>
      <c r="N293" s="2"/>
      <c r="O293" s="2"/>
      <c r="P293" s="2"/>
      <c r="Q293" s="2"/>
      <c r="R293" s="2"/>
      <c r="AK293" s="2"/>
    </row>
    <row r="294" spans="8:37" ht="35.25" x14ac:dyDescent="0.25">
      <c r="H294" s="2"/>
      <c r="I294" s="2"/>
      <c r="J294" s="2"/>
      <c r="K294" s="2"/>
      <c r="L294" s="2"/>
      <c r="M294" s="75"/>
      <c r="N294" s="2"/>
      <c r="O294" s="2"/>
      <c r="P294" s="2"/>
      <c r="Q294" s="2"/>
      <c r="R294" s="2"/>
      <c r="AK294" s="2"/>
    </row>
    <row r="295" spans="8:37" ht="35.25" x14ac:dyDescent="0.25">
      <c r="H295" s="2"/>
      <c r="I295" s="2"/>
      <c r="J295" s="2"/>
      <c r="K295" s="2"/>
      <c r="L295" s="2"/>
      <c r="M295" s="75"/>
      <c r="N295" s="2"/>
      <c r="O295" s="2"/>
      <c r="P295" s="2"/>
      <c r="Q295" s="2"/>
      <c r="R295" s="2"/>
      <c r="AK295" s="2"/>
    </row>
    <row r="296" spans="8:37" ht="35.25" x14ac:dyDescent="0.25">
      <c r="H296" s="2"/>
      <c r="I296" s="2"/>
      <c r="J296" s="2"/>
      <c r="K296" s="2"/>
      <c r="L296" s="2"/>
      <c r="M296" s="75"/>
      <c r="N296" s="2"/>
      <c r="O296" s="2"/>
      <c r="P296" s="2"/>
      <c r="Q296" s="2"/>
      <c r="R296" s="2"/>
      <c r="AK296" s="2"/>
    </row>
    <row r="297" spans="8:37" ht="35.25" x14ac:dyDescent="0.25">
      <c r="H297" s="2"/>
      <c r="I297" s="2"/>
      <c r="J297" s="2"/>
      <c r="K297" s="2"/>
      <c r="L297" s="2"/>
      <c r="M297" s="75"/>
      <c r="N297" s="2"/>
      <c r="O297" s="2"/>
      <c r="P297" s="2"/>
      <c r="Q297" s="2"/>
      <c r="R297" s="2"/>
      <c r="AK297" s="2"/>
    </row>
    <row r="298" spans="8:37" ht="35.25" x14ac:dyDescent="0.25">
      <c r="H298" s="2"/>
      <c r="I298" s="2"/>
      <c r="J298" s="2"/>
      <c r="K298" s="2"/>
      <c r="L298" s="2"/>
      <c r="M298" s="75"/>
      <c r="N298" s="2"/>
      <c r="O298" s="2"/>
      <c r="P298" s="2"/>
      <c r="Q298" s="2"/>
      <c r="R298" s="2"/>
      <c r="AK298" s="2"/>
    </row>
    <row r="299" spans="8:37" ht="35.25" x14ac:dyDescent="0.25">
      <c r="H299" s="2"/>
      <c r="I299" s="2"/>
      <c r="J299" s="2"/>
      <c r="K299" s="2"/>
      <c r="L299" s="2"/>
      <c r="M299" s="75"/>
      <c r="N299" s="2"/>
      <c r="O299" s="2"/>
      <c r="P299" s="2"/>
      <c r="Q299" s="2"/>
      <c r="R299" s="2"/>
      <c r="AK299" s="2"/>
    </row>
    <row r="300" spans="8:37" ht="35.25" x14ac:dyDescent="0.25">
      <c r="H300" s="2"/>
      <c r="I300" s="2"/>
      <c r="J300" s="2"/>
      <c r="K300" s="2"/>
      <c r="L300" s="2"/>
      <c r="M300" s="75"/>
      <c r="N300" s="2"/>
      <c r="O300" s="2"/>
      <c r="P300" s="2"/>
      <c r="Q300" s="2"/>
      <c r="R300" s="2"/>
      <c r="AK300" s="2"/>
    </row>
    <row r="301" spans="8:37" ht="35.25" x14ac:dyDescent="0.25">
      <c r="H301" s="2"/>
      <c r="I301" s="2"/>
      <c r="J301" s="2"/>
      <c r="K301" s="2"/>
      <c r="L301" s="2"/>
      <c r="M301" s="75"/>
      <c r="N301" s="2"/>
      <c r="O301" s="2"/>
      <c r="P301" s="2"/>
      <c r="Q301" s="2"/>
      <c r="R301" s="2"/>
      <c r="AK301" s="2"/>
    </row>
    <row r="302" spans="8:37" ht="35.25" x14ac:dyDescent="0.25">
      <c r="H302" s="2"/>
      <c r="I302" s="2"/>
      <c r="J302" s="2"/>
      <c r="K302" s="2"/>
      <c r="L302" s="2"/>
      <c r="M302" s="75"/>
      <c r="N302" s="2"/>
      <c r="O302" s="2"/>
      <c r="P302" s="2"/>
      <c r="Q302" s="2"/>
      <c r="R302" s="2"/>
      <c r="AK302" s="2"/>
    </row>
    <row r="303" spans="8:37" ht="35.25" x14ac:dyDescent="0.25">
      <c r="H303" s="2"/>
      <c r="I303" s="2"/>
      <c r="J303" s="2"/>
      <c r="K303" s="2"/>
      <c r="L303" s="2"/>
      <c r="M303" s="75"/>
      <c r="N303" s="2"/>
      <c r="O303" s="2"/>
      <c r="P303" s="2"/>
      <c r="Q303" s="2"/>
      <c r="R303" s="2"/>
      <c r="AK303" s="2"/>
    </row>
    <row r="304" spans="8:37" ht="35.25" x14ac:dyDescent="0.25">
      <c r="H304" s="2"/>
      <c r="I304" s="2"/>
      <c r="J304" s="2"/>
      <c r="K304" s="2"/>
      <c r="L304" s="2"/>
      <c r="M304" s="75"/>
      <c r="N304" s="2"/>
      <c r="O304" s="2"/>
      <c r="P304" s="2"/>
      <c r="Q304" s="2"/>
      <c r="R304" s="2"/>
      <c r="AK304" s="2"/>
    </row>
    <row r="305" spans="8:37" ht="35.25" x14ac:dyDescent="0.25">
      <c r="H305" s="2"/>
      <c r="I305" s="2"/>
      <c r="J305" s="2"/>
      <c r="K305" s="2"/>
      <c r="L305" s="2"/>
      <c r="M305" s="75"/>
      <c r="N305" s="2"/>
      <c r="O305" s="2"/>
      <c r="P305" s="2"/>
      <c r="Q305" s="2"/>
      <c r="R305" s="2"/>
      <c r="AK305" s="2"/>
    </row>
    <row r="306" spans="8:37" ht="35.25" x14ac:dyDescent="0.25">
      <c r="H306" s="2"/>
      <c r="I306" s="2"/>
      <c r="J306" s="2"/>
      <c r="K306" s="2"/>
      <c r="L306" s="2"/>
      <c r="M306" s="75"/>
      <c r="N306" s="2"/>
      <c r="O306" s="2"/>
      <c r="P306" s="2"/>
      <c r="Q306" s="2"/>
      <c r="R306" s="2"/>
      <c r="AK306" s="2"/>
    </row>
    <row r="307" spans="8:37" ht="35.25" x14ac:dyDescent="0.25">
      <c r="H307" s="2"/>
      <c r="I307" s="2"/>
      <c r="J307" s="2"/>
      <c r="K307" s="2"/>
      <c r="L307" s="2"/>
      <c r="M307" s="75"/>
      <c r="N307" s="2"/>
      <c r="O307" s="2"/>
      <c r="P307" s="2"/>
      <c r="Q307" s="2"/>
      <c r="R307" s="2"/>
      <c r="AK307" s="2"/>
    </row>
    <row r="308" spans="8:37" ht="35.25" x14ac:dyDescent="0.25">
      <c r="H308" s="2"/>
      <c r="I308" s="2"/>
      <c r="J308" s="2"/>
      <c r="K308" s="2"/>
      <c r="L308" s="2"/>
      <c r="M308" s="75"/>
      <c r="N308" s="2"/>
      <c r="O308" s="2"/>
      <c r="P308" s="2"/>
      <c r="Q308" s="2"/>
      <c r="R308" s="2"/>
      <c r="AK308" s="2"/>
    </row>
    <row r="309" spans="8:37" ht="35.25" x14ac:dyDescent="0.25">
      <c r="H309" s="2"/>
      <c r="I309" s="2"/>
      <c r="J309" s="2"/>
      <c r="K309" s="2"/>
      <c r="L309" s="2"/>
      <c r="M309" s="75"/>
      <c r="N309" s="2"/>
      <c r="O309" s="2"/>
      <c r="P309" s="2"/>
      <c r="Q309" s="2"/>
      <c r="R309" s="2"/>
      <c r="AK309" s="2"/>
    </row>
    <row r="310" spans="8:37" ht="35.25" x14ac:dyDescent="0.25">
      <c r="H310" s="2"/>
      <c r="I310" s="2"/>
      <c r="J310" s="2"/>
      <c r="K310" s="2"/>
      <c r="L310" s="2"/>
      <c r="M310" s="75"/>
      <c r="N310" s="2"/>
      <c r="O310" s="2"/>
      <c r="P310" s="2"/>
      <c r="Q310" s="2"/>
      <c r="R310" s="2"/>
      <c r="AK310" s="2"/>
    </row>
    <row r="311" spans="8:37" ht="35.25" x14ac:dyDescent="0.25">
      <c r="H311" s="2"/>
      <c r="I311" s="2"/>
      <c r="J311" s="2"/>
      <c r="K311" s="2"/>
      <c r="L311" s="2"/>
      <c r="M311" s="75"/>
      <c r="N311" s="2"/>
      <c r="O311" s="2"/>
      <c r="P311" s="2"/>
      <c r="Q311" s="2"/>
      <c r="R311" s="2"/>
      <c r="AK311" s="2"/>
    </row>
    <row r="312" spans="8:37" ht="35.25" x14ac:dyDescent="0.25">
      <c r="H312" s="2"/>
      <c r="I312" s="2"/>
      <c r="J312" s="2"/>
      <c r="K312" s="2"/>
      <c r="L312" s="2"/>
      <c r="M312" s="75"/>
      <c r="N312" s="2"/>
      <c r="O312" s="2"/>
      <c r="P312" s="2"/>
      <c r="Q312" s="2"/>
      <c r="R312" s="2"/>
      <c r="AK312" s="2"/>
    </row>
    <row r="313" spans="8:37" ht="35.25" x14ac:dyDescent="0.25">
      <c r="H313" s="2"/>
      <c r="I313" s="2"/>
      <c r="J313" s="2"/>
      <c r="K313" s="2"/>
      <c r="L313" s="2"/>
      <c r="M313" s="75"/>
      <c r="N313" s="2"/>
      <c r="O313" s="2"/>
      <c r="P313" s="2"/>
      <c r="Q313" s="2"/>
      <c r="R313" s="2"/>
      <c r="AK313" s="2"/>
    </row>
    <row r="314" spans="8:37" ht="35.25" x14ac:dyDescent="0.25">
      <c r="H314" s="2"/>
      <c r="I314" s="2"/>
      <c r="J314" s="2"/>
      <c r="K314" s="2"/>
      <c r="L314" s="2"/>
      <c r="M314" s="75"/>
      <c r="N314" s="2"/>
      <c r="O314" s="2"/>
      <c r="P314" s="2"/>
      <c r="Q314" s="2"/>
      <c r="R314" s="2"/>
      <c r="AK314" s="2"/>
    </row>
    <row r="315" spans="8:37" ht="35.25" x14ac:dyDescent="0.25">
      <c r="H315" s="2"/>
      <c r="I315" s="2"/>
      <c r="J315" s="2"/>
      <c r="K315" s="2"/>
      <c r="L315" s="2"/>
      <c r="M315" s="75"/>
      <c r="N315" s="2"/>
      <c r="O315" s="2"/>
      <c r="P315" s="2"/>
      <c r="Q315" s="2"/>
      <c r="R315" s="2"/>
      <c r="AK315" s="2"/>
    </row>
    <row r="316" spans="8:37" ht="35.25" x14ac:dyDescent="0.25">
      <c r="H316" s="2"/>
      <c r="I316" s="2"/>
      <c r="J316" s="2"/>
      <c r="K316" s="2"/>
      <c r="L316" s="2"/>
      <c r="M316" s="75"/>
      <c r="N316" s="2"/>
      <c r="O316" s="2"/>
      <c r="P316" s="2"/>
      <c r="Q316" s="2"/>
      <c r="R316" s="2"/>
      <c r="AK316" s="2"/>
    </row>
    <row r="317" spans="8:37" ht="35.25" x14ac:dyDescent="0.25">
      <c r="H317" s="2"/>
      <c r="I317" s="2"/>
      <c r="J317" s="2"/>
      <c r="K317" s="2"/>
      <c r="L317" s="2"/>
      <c r="M317" s="75"/>
      <c r="N317" s="2"/>
      <c r="O317" s="2"/>
      <c r="P317" s="2"/>
      <c r="Q317" s="2"/>
      <c r="R317" s="2"/>
      <c r="AK317" s="2"/>
    </row>
    <row r="318" spans="8:37" ht="35.25" x14ac:dyDescent="0.25">
      <c r="H318" s="2"/>
      <c r="I318" s="2"/>
      <c r="J318" s="2"/>
      <c r="K318" s="2"/>
      <c r="L318" s="2"/>
      <c r="M318" s="75"/>
      <c r="N318" s="2"/>
      <c r="O318" s="2"/>
      <c r="P318" s="2"/>
      <c r="Q318" s="2"/>
      <c r="R318" s="2"/>
      <c r="AK318" s="2"/>
    </row>
    <row r="319" spans="8:37" ht="35.25" x14ac:dyDescent="0.25">
      <c r="H319" s="2"/>
      <c r="I319" s="2"/>
      <c r="J319" s="2"/>
      <c r="K319" s="2"/>
      <c r="L319" s="2"/>
      <c r="M319" s="75"/>
      <c r="N319" s="2"/>
      <c r="O319" s="2"/>
      <c r="P319" s="2"/>
      <c r="Q319" s="2"/>
      <c r="R319" s="2"/>
      <c r="AK319" s="2"/>
    </row>
    <row r="320" spans="8:37" ht="35.25" x14ac:dyDescent="0.25">
      <c r="H320" s="2"/>
      <c r="I320" s="2"/>
      <c r="J320" s="2"/>
      <c r="K320" s="2"/>
      <c r="L320" s="2"/>
      <c r="M320" s="75"/>
      <c r="N320" s="2"/>
      <c r="O320" s="2"/>
      <c r="P320" s="2"/>
      <c r="Q320" s="2"/>
      <c r="R320" s="2"/>
      <c r="AK320" s="2"/>
    </row>
    <row r="321" spans="8:37" ht="35.25" x14ac:dyDescent="0.25">
      <c r="H321" s="2"/>
      <c r="I321" s="2"/>
      <c r="J321" s="2"/>
      <c r="K321" s="2"/>
      <c r="L321" s="2"/>
      <c r="M321" s="75"/>
      <c r="N321" s="2"/>
      <c r="O321" s="2"/>
      <c r="P321" s="2"/>
      <c r="Q321" s="2"/>
      <c r="R321" s="2"/>
      <c r="AK321" s="2"/>
    </row>
    <row r="322" spans="8:37" ht="35.25" x14ac:dyDescent="0.25">
      <c r="H322" s="2"/>
      <c r="I322" s="2"/>
      <c r="J322" s="2"/>
      <c r="K322" s="2"/>
      <c r="L322" s="2"/>
      <c r="M322" s="75"/>
      <c r="N322" s="2"/>
      <c r="O322" s="2"/>
      <c r="P322" s="2"/>
      <c r="Q322" s="2"/>
      <c r="R322" s="2"/>
      <c r="AK322" s="2"/>
    </row>
    <row r="323" spans="8:37" ht="35.25" x14ac:dyDescent="0.25">
      <c r="H323" s="2"/>
      <c r="I323" s="2"/>
      <c r="J323" s="2"/>
      <c r="K323" s="2"/>
      <c r="L323" s="2"/>
      <c r="M323" s="75"/>
      <c r="N323" s="2"/>
      <c r="O323" s="2"/>
      <c r="P323" s="2"/>
      <c r="Q323" s="2"/>
      <c r="R323" s="2"/>
      <c r="AK323" s="2"/>
    </row>
    <row r="324" spans="8:37" ht="35.25" x14ac:dyDescent="0.25">
      <c r="H324" s="2"/>
      <c r="I324" s="2"/>
      <c r="J324" s="2"/>
      <c r="K324" s="2"/>
      <c r="L324" s="2"/>
      <c r="M324" s="75"/>
      <c r="N324" s="2"/>
      <c r="O324" s="2"/>
      <c r="P324" s="2"/>
      <c r="Q324" s="2"/>
      <c r="R324" s="2"/>
      <c r="AK324" s="2"/>
    </row>
    <row r="325" spans="8:37" ht="35.25" x14ac:dyDescent="0.25">
      <c r="H325" s="2"/>
      <c r="I325" s="2"/>
      <c r="J325" s="2"/>
      <c r="K325" s="2"/>
      <c r="L325" s="2"/>
      <c r="M325" s="75"/>
      <c r="N325" s="2"/>
      <c r="O325" s="2"/>
      <c r="P325" s="2"/>
      <c r="Q325" s="2"/>
      <c r="R325" s="2"/>
      <c r="AK325" s="2"/>
    </row>
    <row r="326" spans="8:37" ht="35.25" x14ac:dyDescent="0.25">
      <c r="H326" s="2"/>
      <c r="I326" s="2"/>
      <c r="J326" s="2"/>
      <c r="K326" s="2"/>
      <c r="L326" s="2"/>
      <c r="M326" s="75"/>
      <c r="N326" s="2"/>
      <c r="O326" s="2"/>
      <c r="P326" s="2"/>
      <c r="Q326" s="2"/>
      <c r="R326" s="2"/>
      <c r="AK326" s="2"/>
    </row>
    <row r="327" spans="8:37" ht="35.25" x14ac:dyDescent="0.25">
      <c r="H327" s="2"/>
      <c r="I327" s="2"/>
      <c r="J327" s="2"/>
      <c r="K327" s="2"/>
      <c r="L327" s="2"/>
      <c r="M327" s="75"/>
      <c r="N327" s="2"/>
      <c r="O327" s="2"/>
      <c r="P327" s="2"/>
      <c r="Q327" s="2"/>
      <c r="R327" s="2"/>
      <c r="AK327" s="2"/>
    </row>
    <row r="328" spans="8:37" ht="35.25" x14ac:dyDescent="0.25">
      <c r="H328" s="2"/>
      <c r="I328" s="2"/>
      <c r="J328" s="2"/>
      <c r="K328" s="2"/>
      <c r="L328" s="2"/>
      <c r="M328" s="75"/>
      <c r="N328" s="2"/>
      <c r="O328" s="2"/>
      <c r="P328" s="2"/>
      <c r="Q328" s="2"/>
      <c r="R328" s="2"/>
      <c r="AK328" s="2"/>
    </row>
    <row r="329" spans="8:37" ht="35.25" x14ac:dyDescent="0.25">
      <c r="H329" s="2"/>
      <c r="I329" s="2"/>
      <c r="J329" s="2"/>
      <c r="K329" s="2"/>
      <c r="L329" s="2"/>
      <c r="M329" s="75"/>
      <c r="N329" s="2"/>
      <c r="O329" s="2"/>
      <c r="P329" s="2"/>
      <c r="Q329" s="2"/>
      <c r="R329" s="2"/>
      <c r="AK329" s="2"/>
    </row>
    <row r="330" spans="8:37" ht="35.25" x14ac:dyDescent="0.25">
      <c r="H330" s="2"/>
      <c r="I330" s="2"/>
      <c r="J330" s="2"/>
      <c r="K330" s="2"/>
      <c r="L330" s="2"/>
      <c r="M330" s="75"/>
      <c r="N330" s="2"/>
      <c r="O330" s="2"/>
      <c r="P330" s="2"/>
      <c r="Q330" s="2"/>
      <c r="R330" s="2"/>
      <c r="AK330" s="2"/>
    </row>
    <row r="331" spans="8:37" ht="35.25" x14ac:dyDescent="0.25">
      <c r="H331" s="2"/>
      <c r="I331" s="2"/>
      <c r="J331" s="2"/>
      <c r="K331" s="2"/>
      <c r="L331" s="2"/>
      <c r="M331" s="75"/>
      <c r="N331" s="2"/>
      <c r="O331" s="2"/>
      <c r="P331" s="2"/>
      <c r="Q331" s="2"/>
      <c r="R331" s="2"/>
      <c r="AK331" s="2"/>
    </row>
    <row r="332" spans="8:37" ht="35.25" x14ac:dyDescent="0.25">
      <c r="H332" s="2"/>
      <c r="I332" s="2"/>
      <c r="J332" s="2"/>
      <c r="K332" s="2"/>
      <c r="L332" s="2"/>
      <c r="M332" s="75"/>
      <c r="N332" s="2"/>
      <c r="O332" s="2"/>
      <c r="P332" s="2"/>
      <c r="Q332" s="2"/>
      <c r="R332" s="2"/>
      <c r="AK332" s="2"/>
    </row>
    <row r="333" spans="8:37" ht="35.25" x14ac:dyDescent="0.25">
      <c r="H333" s="2"/>
      <c r="I333" s="2"/>
      <c r="J333" s="2"/>
      <c r="K333" s="2"/>
      <c r="L333" s="2"/>
      <c r="M333" s="75"/>
      <c r="N333" s="2"/>
      <c r="O333" s="2"/>
      <c r="P333" s="2"/>
      <c r="Q333" s="2"/>
      <c r="R333" s="2"/>
      <c r="AK333" s="2"/>
    </row>
    <row r="334" spans="8:37" ht="35.25" x14ac:dyDescent="0.25">
      <c r="H334" s="2"/>
      <c r="I334" s="2"/>
      <c r="J334" s="2"/>
      <c r="K334" s="2"/>
      <c r="L334" s="2"/>
      <c r="M334" s="75"/>
      <c r="N334" s="2"/>
      <c r="O334" s="2"/>
      <c r="P334" s="2"/>
      <c r="Q334" s="2"/>
      <c r="R334" s="2"/>
      <c r="AK334" s="2"/>
    </row>
    <row r="335" spans="8:37" ht="35.25" x14ac:dyDescent="0.25">
      <c r="H335" s="2"/>
      <c r="I335" s="2"/>
      <c r="J335" s="2"/>
      <c r="K335" s="2"/>
      <c r="L335" s="2"/>
      <c r="M335" s="75"/>
      <c r="N335" s="2"/>
      <c r="O335" s="2"/>
      <c r="P335" s="2"/>
      <c r="Q335" s="2"/>
      <c r="R335" s="2"/>
      <c r="AK335" s="2"/>
    </row>
    <row r="336" spans="8:37" ht="35.25" x14ac:dyDescent="0.25">
      <c r="H336" s="2"/>
      <c r="I336" s="2"/>
      <c r="J336" s="2"/>
      <c r="K336" s="2"/>
      <c r="L336" s="2"/>
      <c r="M336" s="75"/>
      <c r="N336" s="2"/>
      <c r="O336" s="2"/>
      <c r="P336" s="2"/>
      <c r="Q336" s="2"/>
      <c r="R336" s="2"/>
      <c r="AK336" s="2"/>
    </row>
    <row r="337" spans="8:37" ht="35.25" x14ac:dyDescent="0.25">
      <c r="H337" s="2"/>
      <c r="I337" s="2"/>
      <c r="J337" s="2"/>
      <c r="K337" s="2"/>
      <c r="L337" s="2"/>
      <c r="M337" s="75"/>
      <c r="N337" s="2"/>
      <c r="O337" s="2"/>
      <c r="P337" s="2"/>
      <c r="Q337" s="2"/>
      <c r="R337" s="2"/>
      <c r="AK337" s="2"/>
    </row>
    <row r="338" spans="8:37" ht="35.25" x14ac:dyDescent="0.25">
      <c r="H338" s="2"/>
      <c r="I338" s="2"/>
      <c r="J338" s="2"/>
      <c r="K338" s="2"/>
      <c r="L338" s="2"/>
      <c r="M338" s="75"/>
      <c r="N338" s="2"/>
      <c r="O338" s="2"/>
      <c r="P338" s="2"/>
      <c r="Q338" s="2"/>
      <c r="R338" s="2"/>
      <c r="AK338" s="2"/>
    </row>
    <row r="339" spans="8:37" ht="35.25" x14ac:dyDescent="0.25">
      <c r="H339" s="2"/>
      <c r="I339" s="2"/>
      <c r="J339" s="2"/>
      <c r="K339" s="2"/>
      <c r="L339" s="2"/>
      <c r="M339" s="75"/>
      <c r="N339" s="2"/>
      <c r="O339" s="2"/>
      <c r="P339" s="2"/>
      <c r="Q339" s="2"/>
      <c r="R339" s="2"/>
      <c r="AK339" s="2"/>
    </row>
    <row r="340" spans="8:37" ht="35.25" x14ac:dyDescent="0.25">
      <c r="H340" s="2"/>
      <c r="I340" s="2"/>
      <c r="J340" s="2"/>
      <c r="K340" s="2"/>
      <c r="L340" s="2"/>
      <c r="M340" s="75"/>
      <c r="N340" s="2"/>
      <c r="O340" s="2"/>
      <c r="P340" s="2"/>
      <c r="Q340" s="2"/>
      <c r="R340" s="2"/>
      <c r="AK340" s="2"/>
    </row>
    <row r="341" spans="8:37" ht="35.25" x14ac:dyDescent="0.25">
      <c r="H341" s="2"/>
      <c r="I341" s="2"/>
      <c r="J341" s="2"/>
      <c r="K341" s="2"/>
      <c r="L341" s="2"/>
      <c r="M341" s="75"/>
      <c r="N341" s="2"/>
      <c r="O341" s="2"/>
      <c r="P341" s="2"/>
      <c r="Q341" s="2"/>
      <c r="R341" s="2"/>
      <c r="AK341" s="2"/>
    </row>
    <row r="342" spans="8:37" ht="35.25" x14ac:dyDescent="0.25">
      <c r="H342" s="2"/>
      <c r="I342" s="2"/>
      <c r="J342" s="2"/>
      <c r="K342" s="2"/>
      <c r="L342" s="2"/>
      <c r="M342" s="75"/>
      <c r="N342" s="2"/>
      <c r="O342" s="2"/>
      <c r="P342" s="2"/>
      <c r="Q342" s="2"/>
      <c r="R342" s="2"/>
      <c r="AK342" s="2"/>
    </row>
    <row r="343" spans="8:37" ht="35.25" x14ac:dyDescent="0.25">
      <c r="H343" s="2"/>
      <c r="I343" s="2"/>
      <c r="J343" s="2"/>
      <c r="K343" s="2"/>
      <c r="L343" s="2"/>
      <c r="M343" s="75"/>
      <c r="N343" s="2"/>
      <c r="O343" s="2"/>
      <c r="P343" s="2"/>
      <c r="Q343" s="2"/>
      <c r="R343" s="2"/>
      <c r="AK343" s="2"/>
    </row>
    <row r="344" spans="8:37" ht="35.25" x14ac:dyDescent="0.25">
      <c r="H344" s="2"/>
      <c r="I344" s="2"/>
      <c r="J344" s="2"/>
      <c r="K344" s="2"/>
      <c r="L344" s="2"/>
      <c r="M344" s="75"/>
      <c r="N344" s="2"/>
      <c r="O344" s="2"/>
      <c r="P344" s="2"/>
      <c r="Q344" s="2"/>
      <c r="R344" s="2"/>
      <c r="AK344" s="2"/>
    </row>
    <row r="345" spans="8:37" ht="35.25" x14ac:dyDescent="0.25">
      <c r="H345" s="2"/>
      <c r="I345" s="2"/>
      <c r="J345" s="2"/>
      <c r="K345" s="2"/>
      <c r="L345" s="2"/>
      <c r="M345" s="75"/>
      <c r="N345" s="2"/>
      <c r="O345" s="2"/>
      <c r="P345" s="2"/>
      <c r="Q345" s="2"/>
      <c r="R345" s="2"/>
      <c r="AK345" s="2"/>
    </row>
    <row r="346" spans="8:37" ht="35.25" x14ac:dyDescent="0.25">
      <c r="H346" s="2"/>
      <c r="I346" s="2"/>
      <c r="J346" s="2"/>
      <c r="K346" s="2"/>
      <c r="L346" s="2"/>
      <c r="M346" s="75"/>
      <c r="N346" s="2"/>
      <c r="O346" s="2"/>
      <c r="P346" s="2"/>
      <c r="Q346" s="2"/>
      <c r="R346" s="2"/>
      <c r="AK346" s="2"/>
    </row>
    <row r="347" spans="8:37" ht="35.25" x14ac:dyDescent="0.25">
      <c r="H347" s="2"/>
      <c r="I347" s="2"/>
      <c r="J347" s="2"/>
      <c r="K347" s="2"/>
      <c r="L347" s="2"/>
      <c r="M347" s="75"/>
      <c r="N347" s="2"/>
      <c r="O347" s="2"/>
      <c r="P347" s="2"/>
      <c r="Q347" s="2"/>
      <c r="R347" s="2"/>
      <c r="AK347" s="2"/>
    </row>
    <row r="348" spans="8:37" ht="35.25" x14ac:dyDescent="0.25">
      <c r="H348" s="2"/>
      <c r="I348" s="2"/>
      <c r="J348" s="2"/>
      <c r="K348" s="2"/>
      <c r="L348" s="2"/>
      <c r="M348" s="75"/>
      <c r="N348" s="2"/>
      <c r="O348" s="2"/>
      <c r="P348" s="2"/>
      <c r="Q348" s="2"/>
      <c r="R348" s="2"/>
      <c r="AK348" s="2"/>
    </row>
    <row r="349" spans="8:37" ht="35.25" x14ac:dyDescent="0.25">
      <c r="H349" s="2"/>
      <c r="I349" s="2"/>
      <c r="J349" s="2"/>
      <c r="K349" s="2"/>
      <c r="L349" s="2"/>
      <c r="M349" s="75"/>
      <c r="N349" s="2"/>
      <c r="O349" s="2"/>
      <c r="P349" s="2"/>
      <c r="Q349" s="2"/>
      <c r="R349" s="2"/>
      <c r="AK349" s="2"/>
    </row>
    <row r="350" spans="8:37" ht="35.25" x14ac:dyDescent="0.25">
      <c r="H350" s="2"/>
      <c r="I350" s="2"/>
      <c r="J350" s="2"/>
      <c r="K350" s="2"/>
      <c r="L350" s="2"/>
      <c r="M350" s="75"/>
      <c r="N350" s="2"/>
      <c r="O350" s="2"/>
      <c r="P350" s="2"/>
      <c r="Q350" s="2"/>
      <c r="R350" s="2"/>
      <c r="AK350" s="2"/>
    </row>
    <row r="351" spans="8:37" ht="35.25" x14ac:dyDescent="0.25">
      <c r="H351" s="2"/>
      <c r="I351" s="2"/>
      <c r="J351" s="2"/>
      <c r="K351" s="2"/>
      <c r="L351" s="2"/>
      <c r="M351" s="75"/>
      <c r="N351" s="2"/>
      <c r="O351" s="2"/>
      <c r="P351" s="2"/>
      <c r="Q351" s="2"/>
      <c r="R351" s="2"/>
      <c r="AK351" s="2"/>
    </row>
    <row r="352" spans="8:37" ht="35.25" x14ac:dyDescent="0.25">
      <c r="H352" s="2"/>
      <c r="I352" s="2"/>
      <c r="J352" s="2"/>
      <c r="K352" s="2"/>
      <c r="L352" s="2"/>
      <c r="M352" s="75"/>
      <c r="N352" s="2"/>
      <c r="O352" s="2"/>
      <c r="P352" s="2"/>
      <c r="Q352" s="2"/>
      <c r="R352" s="2"/>
      <c r="AK352" s="2"/>
    </row>
    <row r="353" spans="8:37" ht="35.25" x14ac:dyDescent="0.25">
      <c r="H353" s="2"/>
      <c r="I353" s="2"/>
      <c r="J353" s="2"/>
      <c r="K353" s="2"/>
      <c r="L353" s="2"/>
      <c r="M353" s="75"/>
      <c r="N353" s="2"/>
      <c r="O353" s="2"/>
      <c r="P353" s="2"/>
      <c r="Q353" s="2"/>
      <c r="R353" s="2"/>
      <c r="AK353" s="2"/>
    </row>
    <row r="354" spans="8:37" ht="35.25" x14ac:dyDescent="0.25">
      <c r="H354" s="2"/>
      <c r="I354" s="2"/>
      <c r="J354" s="2"/>
      <c r="K354" s="2"/>
      <c r="L354" s="2"/>
      <c r="M354" s="75"/>
      <c r="N354" s="2"/>
      <c r="O354" s="2"/>
      <c r="P354" s="2"/>
      <c r="Q354" s="2"/>
      <c r="R354" s="2"/>
      <c r="AK354" s="2"/>
    </row>
    <row r="355" spans="8:37" ht="35.25" x14ac:dyDescent="0.25">
      <c r="H355" s="2"/>
      <c r="I355" s="2"/>
      <c r="J355" s="2"/>
      <c r="K355" s="2"/>
      <c r="L355" s="2"/>
      <c r="M355" s="75"/>
      <c r="N355" s="2"/>
      <c r="O355" s="2"/>
      <c r="P355" s="2"/>
      <c r="Q355" s="2"/>
      <c r="R355" s="2"/>
      <c r="AK355" s="2"/>
    </row>
    <row r="356" spans="8:37" ht="35.25" x14ac:dyDescent="0.25">
      <c r="H356" s="2"/>
      <c r="I356" s="2"/>
      <c r="J356" s="2"/>
      <c r="K356" s="2"/>
      <c r="L356" s="2"/>
      <c r="M356" s="75"/>
      <c r="N356" s="2"/>
      <c r="O356" s="2"/>
      <c r="P356" s="2"/>
      <c r="Q356" s="2"/>
      <c r="R356" s="2"/>
      <c r="AK356" s="2"/>
    </row>
    <row r="357" spans="8:37" ht="35.25" x14ac:dyDescent="0.25">
      <c r="H357" s="2"/>
      <c r="I357" s="2"/>
      <c r="J357" s="2"/>
      <c r="K357" s="2"/>
      <c r="L357" s="2"/>
      <c r="M357" s="75"/>
      <c r="N357" s="2"/>
      <c r="O357" s="2"/>
      <c r="P357" s="2"/>
      <c r="Q357" s="2"/>
      <c r="R357" s="2"/>
      <c r="AK357" s="2"/>
    </row>
    <row r="358" spans="8:37" ht="35.25" x14ac:dyDescent="0.25">
      <c r="H358" s="2"/>
      <c r="I358" s="2"/>
      <c r="J358" s="2"/>
      <c r="K358" s="2"/>
      <c r="L358" s="2"/>
      <c r="M358" s="75"/>
      <c r="N358" s="2"/>
      <c r="O358" s="2"/>
      <c r="P358" s="2"/>
      <c r="Q358" s="2"/>
      <c r="R358" s="2"/>
      <c r="AK358" s="2"/>
    </row>
    <row r="359" spans="8:37" ht="35.25" x14ac:dyDescent="0.25">
      <c r="H359" s="2"/>
      <c r="I359" s="2"/>
      <c r="J359" s="2"/>
      <c r="K359" s="2"/>
      <c r="L359" s="2"/>
      <c r="M359" s="75"/>
      <c r="N359" s="2"/>
      <c r="O359" s="2"/>
      <c r="P359" s="2"/>
      <c r="Q359" s="2"/>
      <c r="R359" s="2"/>
      <c r="AK359" s="2"/>
    </row>
    <row r="360" spans="8:37" ht="35.25" x14ac:dyDescent="0.25">
      <c r="H360" s="2"/>
      <c r="I360" s="2"/>
      <c r="J360" s="2"/>
      <c r="K360" s="2"/>
      <c r="L360" s="2"/>
      <c r="M360" s="75"/>
      <c r="N360" s="2"/>
      <c r="O360" s="2"/>
      <c r="P360" s="2"/>
      <c r="Q360" s="2"/>
      <c r="R360" s="2"/>
      <c r="AK360" s="2"/>
    </row>
    <row r="361" spans="8:37" ht="35.25" x14ac:dyDescent="0.25">
      <c r="H361" s="2"/>
      <c r="I361" s="2"/>
      <c r="J361" s="2"/>
      <c r="K361" s="2"/>
      <c r="L361" s="2"/>
      <c r="M361" s="75"/>
      <c r="N361" s="2"/>
      <c r="O361" s="2"/>
      <c r="P361" s="2"/>
      <c r="Q361" s="2"/>
      <c r="R361" s="2"/>
      <c r="AK361" s="2"/>
    </row>
    <row r="362" spans="8:37" ht="35.25" x14ac:dyDescent="0.25">
      <c r="H362" s="2"/>
      <c r="I362" s="2"/>
      <c r="J362" s="2"/>
      <c r="K362" s="2"/>
      <c r="L362" s="2"/>
      <c r="M362" s="75"/>
      <c r="N362" s="2"/>
      <c r="O362" s="2"/>
      <c r="P362" s="2"/>
      <c r="Q362" s="2"/>
      <c r="R362" s="2"/>
      <c r="AK362" s="2"/>
    </row>
    <row r="363" spans="8:37" ht="35.25" x14ac:dyDescent="0.25">
      <c r="H363" s="2"/>
      <c r="I363" s="2"/>
      <c r="J363" s="2"/>
      <c r="K363" s="2"/>
      <c r="L363" s="2"/>
      <c r="M363" s="75"/>
      <c r="N363" s="2"/>
      <c r="O363" s="2"/>
      <c r="P363" s="2"/>
      <c r="Q363" s="2"/>
      <c r="R363" s="2"/>
      <c r="AK363" s="2"/>
    </row>
    <row r="364" spans="8:37" ht="35.25" x14ac:dyDescent="0.25">
      <c r="H364" s="2"/>
      <c r="I364" s="2"/>
      <c r="J364" s="2"/>
      <c r="K364" s="2"/>
      <c r="L364" s="2"/>
      <c r="M364" s="75"/>
      <c r="N364" s="2"/>
      <c r="O364" s="2"/>
      <c r="P364" s="2"/>
      <c r="Q364" s="2"/>
      <c r="R364" s="2"/>
      <c r="AK364" s="2"/>
    </row>
    <row r="365" spans="8:37" ht="35.25" x14ac:dyDescent="0.25">
      <c r="H365" s="2"/>
      <c r="I365" s="2"/>
      <c r="J365" s="2"/>
      <c r="K365" s="2"/>
      <c r="L365" s="2"/>
      <c r="M365" s="75"/>
      <c r="N365" s="2"/>
      <c r="O365" s="2"/>
      <c r="P365" s="2"/>
      <c r="Q365" s="2"/>
      <c r="R365" s="2"/>
      <c r="AK365" s="2"/>
    </row>
    <row r="366" spans="8:37" ht="35.25" x14ac:dyDescent="0.25">
      <c r="H366" s="2"/>
      <c r="I366" s="2"/>
      <c r="J366" s="2"/>
      <c r="K366" s="2"/>
      <c r="L366" s="2"/>
      <c r="M366" s="75"/>
      <c r="N366" s="2"/>
      <c r="O366" s="2"/>
      <c r="P366" s="2"/>
      <c r="Q366" s="2"/>
      <c r="R366" s="2"/>
      <c r="AK366" s="2"/>
    </row>
    <row r="367" spans="8:37" ht="35.25" x14ac:dyDescent="0.25">
      <c r="H367" s="2"/>
      <c r="I367" s="2"/>
      <c r="J367" s="2"/>
      <c r="K367" s="2"/>
      <c r="L367" s="2"/>
      <c r="M367" s="75"/>
      <c r="N367" s="2"/>
      <c r="O367" s="2"/>
      <c r="P367" s="2"/>
      <c r="Q367" s="2"/>
      <c r="R367" s="2"/>
      <c r="AK367" s="2"/>
    </row>
    <row r="368" spans="8:37" ht="35.25" x14ac:dyDescent="0.25">
      <c r="H368" s="2"/>
      <c r="I368" s="2"/>
      <c r="J368" s="2"/>
      <c r="K368" s="2"/>
      <c r="L368" s="2"/>
      <c r="M368" s="75"/>
      <c r="N368" s="2"/>
      <c r="O368" s="2"/>
      <c r="P368" s="2"/>
      <c r="Q368" s="2"/>
      <c r="R368" s="2"/>
      <c r="AK368" s="2"/>
    </row>
    <row r="369" spans="8:37" ht="35.25" x14ac:dyDescent="0.25">
      <c r="H369" s="2"/>
      <c r="I369" s="2"/>
      <c r="J369" s="2"/>
      <c r="K369" s="2"/>
      <c r="L369" s="2"/>
      <c r="M369" s="75"/>
      <c r="N369" s="2"/>
      <c r="O369" s="2"/>
      <c r="P369" s="2"/>
      <c r="Q369" s="2"/>
      <c r="R369" s="2"/>
      <c r="AK369" s="2"/>
    </row>
    <row r="370" spans="8:37" ht="35.25" x14ac:dyDescent="0.25">
      <c r="H370" s="2"/>
      <c r="I370" s="2"/>
      <c r="J370" s="2"/>
      <c r="K370" s="2"/>
      <c r="L370" s="2"/>
      <c r="M370" s="75"/>
      <c r="N370" s="2"/>
      <c r="O370" s="2"/>
      <c r="P370" s="2"/>
      <c r="Q370" s="2"/>
      <c r="R370" s="2"/>
      <c r="AK370" s="2"/>
    </row>
    <row r="371" spans="8:37" ht="35.25" x14ac:dyDescent="0.25">
      <c r="H371" s="2"/>
      <c r="I371" s="2"/>
      <c r="J371" s="2"/>
      <c r="K371" s="2"/>
      <c r="L371" s="2"/>
      <c r="M371" s="75"/>
      <c r="N371" s="2"/>
      <c r="O371" s="2"/>
      <c r="P371" s="2"/>
      <c r="Q371" s="2"/>
      <c r="R371" s="2"/>
      <c r="AK371" s="2"/>
    </row>
    <row r="372" spans="8:37" ht="35.25" x14ac:dyDescent="0.25">
      <c r="H372" s="2"/>
      <c r="I372" s="2"/>
      <c r="J372" s="2"/>
      <c r="K372" s="2"/>
      <c r="L372" s="2"/>
      <c r="M372" s="75"/>
      <c r="N372" s="2"/>
      <c r="O372" s="2"/>
      <c r="P372" s="2"/>
      <c r="Q372" s="2"/>
      <c r="R372" s="2"/>
      <c r="AK372" s="2"/>
    </row>
    <row r="373" spans="8:37" ht="35.25" x14ac:dyDescent="0.25">
      <c r="H373" s="2"/>
      <c r="I373" s="2"/>
      <c r="J373" s="2"/>
      <c r="K373" s="2"/>
      <c r="L373" s="2"/>
      <c r="M373" s="75"/>
      <c r="N373" s="2"/>
      <c r="O373" s="2"/>
      <c r="P373" s="2"/>
      <c r="Q373" s="2"/>
      <c r="R373" s="2"/>
      <c r="AK373" s="2"/>
    </row>
    <row r="374" spans="8:37" ht="35.25" x14ac:dyDescent="0.25">
      <c r="H374" s="2"/>
      <c r="I374" s="2"/>
      <c r="J374" s="2"/>
      <c r="K374" s="2"/>
      <c r="L374" s="2"/>
      <c r="M374" s="75"/>
      <c r="N374" s="2"/>
      <c r="O374" s="2"/>
      <c r="P374" s="2"/>
      <c r="Q374" s="2"/>
      <c r="R374" s="2"/>
      <c r="AK374" s="2"/>
    </row>
    <row r="375" spans="8:37" ht="35.25" x14ac:dyDescent="0.25">
      <c r="H375" s="2"/>
      <c r="I375" s="2"/>
      <c r="J375" s="2"/>
      <c r="K375" s="2"/>
      <c r="L375" s="2"/>
      <c r="M375" s="75"/>
      <c r="N375" s="2"/>
      <c r="O375" s="2"/>
      <c r="P375" s="2"/>
      <c r="Q375" s="2"/>
      <c r="R375" s="2"/>
      <c r="AK375" s="2"/>
    </row>
    <row r="376" spans="8:37" ht="35.25" x14ac:dyDescent="0.25">
      <c r="H376" s="2"/>
      <c r="I376" s="2"/>
      <c r="J376" s="2"/>
      <c r="K376" s="2"/>
      <c r="L376" s="2"/>
      <c r="M376" s="75"/>
      <c r="N376" s="2"/>
      <c r="O376" s="2"/>
      <c r="P376" s="2"/>
      <c r="Q376" s="2"/>
      <c r="R376" s="2"/>
      <c r="AK376" s="2"/>
    </row>
    <row r="377" spans="8:37" ht="35.25" x14ac:dyDescent="0.25">
      <c r="H377" s="2"/>
      <c r="I377" s="2"/>
      <c r="J377" s="2"/>
      <c r="K377" s="2"/>
      <c r="L377" s="2"/>
      <c r="M377" s="75"/>
      <c r="N377" s="2"/>
      <c r="O377" s="2"/>
      <c r="P377" s="2"/>
      <c r="Q377" s="2"/>
      <c r="R377" s="2"/>
      <c r="AK377" s="2"/>
    </row>
    <row r="378" spans="8:37" ht="35.25" x14ac:dyDescent="0.25">
      <c r="H378" s="2"/>
      <c r="I378" s="2"/>
      <c r="J378" s="2"/>
      <c r="K378" s="2"/>
      <c r="L378" s="2"/>
      <c r="M378" s="75"/>
      <c r="N378" s="2"/>
      <c r="O378" s="2"/>
      <c r="P378" s="2"/>
      <c r="Q378" s="2"/>
      <c r="R378" s="2"/>
      <c r="AK378" s="2"/>
    </row>
    <row r="379" spans="8:37" ht="35.25" x14ac:dyDescent="0.25">
      <c r="H379" s="2"/>
      <c r="I379" s="2"/>
      <c r="J379" s="2"/>
      <c r="K379" s="2"/>
      <c r="L379" s="2"/>
      <c r="M379" s="75"/>
      <c r="N379" s="2"/>
      <c r="O379" s="2"/>
      <c r="P379" s="2"/>
      <c r="Q379" s="2"/>
      <c r="R379" s="2"/>
      <c r="AK379" s="2"/>
    </row>
    <row r="380" spans="8:37" ht="35.25" x14ac:dyDescent="0.25">
      <c r="H380" s="2"/>
      <c r="I380" s="2"/>
      <c r="J380" s="2"/>
      <c r="K380" s="2"/>
      <c r="L380" s="2"/>
      <c r="M380" s="75"/>
      <c r="N380" s="2"/>
      <c r="O380" s="2"/>
      <c r="P380" s="2"/>
      <c r="Q380" s="2"/>
      <c r="R380" s="2"/>
      <c r="AK380" s="2"/>
    </row>
    <row r="381" spans="8:37" ht="35.25" x14ac:dyDescent="0.25">
      <c r="H381" s="2"/>
      <c r="I381" s="2"/>
      <c r="J381" s="2"/>
      <c r="K381" s="2"/>
      <c r="L381" s="2"/>
      <c r="M381" s="75"/>
      <c r="N381" s="2"/>
      <c r="O381" s="2"/>
      <c r="P381" s="2"/>
      <c r="Q381" s="2"/>
      <c r="R381" s="2"/>
      <c r="AK381" s="2"/>
    </row>
    <row r="382" spans="8:37" ht="35.25" x14ac:dyDescent="0.25">
      <c r="H382" s="2"/>
      <c r="I382" s="2"/>
      <c r="J382" s="2"/>
      <c r="K382" s="2"/>
      <c r="L382" s="2"/>
      <c r="M382" s="75"/>
      <c r="N382" s="2"/>
      <c r="O382" s="2"/>
      <c r="P382" s="2"/>
      <c r="Q382" s="2"/>
      <c r="R382" s="2"/>
      <c r="AK382" s="2"/>
    </row>
    <row r="383" spans="8:37" ht="35.25" x14ac:dyDescent="0.25">
      <c r="H383" s="2"/>
      <c r="I383" s="2"/>
      <c r="J383" s="2"/>
      <c r="K383" s="2"/>
      <c r="L383" s="2"/>
      <c r="M383" s="75"/>
      <c r="N383" s="2"/>
      <c r="O383" s="2"/>
      <c r="P383" s="2"/>
      <c r="Q383" s="2"/>
      <c r="R383" s="2"/>
      <c r="AK383" s="2"/>
    </row>
    <row r="384" spans="8:37" ht="35.25" x14ac:dyDescent="0.25">
      <c r="H384" s="2"/>
      <c r="I384" s="2"/>
      <c r="J384" s="2"/>
      <c r="K384" s="2"/>
      <c r="L384" s="2"/>
      <c r="M384" s="75"/>
      <c r="N384" s="2"/>
      <c r="O384" s="2"/>
      <c r="P384" s="2"/>
      <c r="Q384" s="2"/>
      <c r="R384" s="2"/>
      <c r="AK384" s="2"/>
    </row>
    <row r="385" spans="8:37" ht="35.25" x14ac:dyDescent="0.25">
      <c r="H385" s="2"/>
      <c r="I385" s="2"/>
      <c r="J385" s="2"/>
      <c r="K385" s="2"/>
      <c r="L385" s="2"/>
      <c r="M385" s="75"/>
      <c r="N385" s="2"/>
      <c r="O385" s="2"/>
      <c r="P385" s="2"/>
      <c r="Q385" s="2"/>
      <c r="R385" s="2"/>
      <c r="AK385" s="2"/>
    </row>
    <row r="386" spans="8:37" ht="35.25" x14ac:dyDescent="0.25">
      <c r="H386" s="2"/>
      <c r="I386" s="2"/>
      <c r="J386" s="2"/>
      <c r="K386" s="2"/>
      <c r="L386" s="2"/>
      <c r="M386" s="75"/>
      <c r="N386" s="2"/>
      <c r="O386" s="2"/>
      <c r="P386" s="2"/>
      <c r="Q386" s="2"/>
      <c r="R386" s="2"/>
      <c r="AK386" s="2"/>
    </row>
    <row r="387" spans="8:37" ht="35.25" x14ac:dyDescent="0.25">
      <c r="H387" s="2"/>
      <c r="I387" s="2"/>
      <c r="J387" s="2"/>
      <c r="K387" s="2"/>
      <c r="L387" s="2"/>
      <c r="M387" s="75"/>
      <c r="N387" s="2"/>
      <c r="O387" s="2"/>
      <c r="P387" s="2"/>
      <c r="Q387" s="2"/>
      <c r="R387" s="2"/>
      <c r="AK387" s="2"/>
    </row>
    <row r="388" spans="8:37" ht="35.25" x14ac:dyDescent="0.25">
      <c r="H388" s="2"/>
      <c r="I388" s="2"/>
      <c r="J388" s="2"/>
      <c r="K388" s="2"/>
      <c r="L388" s="2"/>
      <c r="M388" s="75"/>
      <c r="N388" s="2"/>
      <c r="O388" s="2"/>
      <c r="P388" s="2"/>
      <c r="Q388" s="2"/>
      <c r="R388" s="2"/>
      <c r="AK388" s="2"/>
    </row>
    <row r="389" spans="8:37" ht="35.25" x14ac:dyDescent="0.25">
      <c r="H389" s="2"/>
      <c r="I389" s="2"/>
      <c r="J389" s="2"/>
      <c r="K389" s="2"/>
      <c r="L389" s="2"/>
      <c r="M389" s="75"/>
      <c r="N389" s="2"/>
      <c r="O389" s="2"/>
      <c r="P389" s="2"/>
      <c r="Q389" s="2"/>
      <c r="R389" s="2"/>
      <c r="AK389" s="2"/>
    </row>
    <row r="390" spans="8:37" ht="35.25" x14ac:dyDescent="0.25">
      <c r="H390" s="2"/>
      <c r="I390" s="2"/>
      <c r="J390" s="2"/>
      <c r="K390" s="2"/>
      <c r="L390" s="2"/>
      <c r="M390" s="75"/>
      <c r="N390" s="2"/>
      <c r="O390" s="2"/>
      <c r="P390" s="2"/>
      <c r="Q390" s="2"/>
      <c r="R390" s="2"/>
      <c r="AK390" s="2"/>
    </row>
    <row r="391" spans="8:37" ht="35.25" x14ac:dyDescent="0.25">
      <c r="H391" s="2"/>
      <c r="I391" s="2"/>
      <c r="J391" s="2"/>
      <c r="K391" s="2"/>
      <c r="L391" s="2"/>
      <c r="M391" s="75"/>
      <c r="N391" s="2"/>
      <c r="O391" s="2"/>
      <c r="P391" s="2"/>
      <c r="Q391" s="2"/>
      <c r="R391" s="2"/>
      <c r="AK391" s="2"/>
    </row>
    <row r="392" spans="8:37" ht="35.25" x14ac:dyDescent="0.25">
      <c r="H392" s="2"/>
      <c r="I392" s="2"/>
      <c r="J392" s="2"/>
      <c r="K392" s="2"/>
      <c r="L392" s="2"/>
      <c r="M392" s="75"/>
      <c r="N392" s="2"/>
      <c r="O392" s="2"/>
      <c r="P392" s="2"/>
      <c r="Q392" s="2"/>
      <c r="R392" s="2"/>
      <c r="AK392" s="2"/>
    </row>
    <row r="393" spans="8:37" ht="35.25" x14ac:dyDescent="0.25">
      <c r="H393" s="2"/>
      <c r="I393" s="2"/>
      <c r="J393" s="2"/>
      <c r="K393" s="2"/>
      <c r="L393" s="2"/>
      <c r="M393" s="75"/>
      <c r="N393" s="2"/>
      <c r="O393" s="2"/>
      <c r="P393" s="2"/>
      <c r="Q393" s="2"/>
      <c r="R393" s="2"/>
      <c r="AK393" s="2"/>
    </row>
    <row r="394" spans="8:37" ht="35.25" x14ac:dyDescent="0.25">
      <c r="H394" s="2"/>
      <c r="I394" s="2"/>
      <c r="J394" s="2"/>
      <c r="K394" s="2"/>
      <c r="L394" s="2"/>
      <c r="M394" s="75"/>
      <c r="N394" s="2"/>
      <c r="O394" s="2"/>
      <c r="P394" s="2"/>
      <c r="Q394" s="2"/>
      <c r="R394" s="2"/>
      <c r="AK394" s="2"/>
    </row>
    <row r="395" spans="8:37" ht="35.25" x14ac:dyDescent="0.25">
      <c r="H395" s="2"/>
      <c r="I395" s="2"/>
      <c r="J395" s="2"/>
      <c r="K395" s="2"/>
      <c r="L395" s="2"/>
      <c r="M395" s="75"/>
      <c r="N395" s="2"/>
      <c r="O395" s="2"/>
      <c r="P395" s="2"/>
      <c r="Q395" s="2"/>
      <c r="R395" s="2"/>
      <c r="AK395" s="2"/>
    </row>
    <row r="396" spans="8:37" ht="35.25" x14ac:dyDescent="0.25">
      <c r="H396" s="2"/>
      <c r="I396" s="2"/>
      <c r="J396" s="2"/>
      <c r="K396" s="2"/>
      <c r="L396" s="2"/>
      <c r="M396" s="75"/>
      <c r="N396" s="2"/>
      <c r="O396" s="2"/>
      <c r="P396" s="2"/>
      <c r="Q396" s="2"/>
      <c r="R396" s="2"/>
      <c r="AK396" s="2"/>
    </row>
    <row r="397" spans="8:37" ht="35.25" x14ac:dyDescent="0.25">
      <c r="H397" s="2"/>
      <c r="I397" s="2"/>
      <c r="J397" s="2"/>
      <c r="K397" s="2"/>
      <c r="L397" s="2"/>
      <c r="M397" s="75"/>
      <c r="N397" s="2"/>
      <c r="O397" s="2"/>
      <c r="P397" s="2"/>
      <c r="Q397" s="2"/>
      <c r="R397" s="2"/>
      <c r="AK397" s="2"/>
    </row>
    <row r="398" spans="8:37" ht="35.25" x14ac:dyDescent="0.25">
      <c r="H398" s="2"/>
      <c r="I398" s="2"/>
      <c r="J398" s="2"/>
      <c r="K398" s="2"/>
      <c r="L398" s="2"/>
      <c r="M398" s="75"/>
      <c r="N398" s="2"/>
      <c r="O398" s="2"/>
      <c r="P398" s="2"/>
      <c r="Q398" s="2"/>
      <c r="R398" s="2"/>
      <c r="AK398" s="2"/>
    </row>
    <row r="399" spans="8:37" ht="35.25" x14ac:dyDescent="0.25">
      <c r="H399" s="2"/>
      <c r="I399" s="2"/>
      <c r="J399" s="2"/>
      <c r="K399" s="2"/>
      <c r="L399" s="2"/>
      <c r="M399" s="75"/>
      <c r="N399" s="2"/>
      <c r="O399" s="2"/>
      <c r="P399" s="2"/>
      <c r="Q399" s="2"/>
      <c r="R399" s="2"/>
      <c r="AK399" s="2"/>
    </row>
    <row r="400" spans="8:37" ht="35.25" x14ac:dyDescent="0.25">
      <c r="H400" s="2"/>
      <c r="I400" s="2"/>
      <c r="J400" s="2"/>
      <c r="K400" s="2"/>
      <c r="L400" s="2"/>
      <c r="M400" s="75"/>
      <c r="N400" s="2"/>
      <c r="O400" s="2"/>
      <c r="P400" s="2"/>
      <c r="Q400" s="2"/>
      <c r="R400" s="2"/>
      <c r="AK400" s="2"/>
    </row>
    <row r="401" spans="8:37" ht="35.25" x14ac:dyDescent="0.25">
      <c r="H401" s="2"/>
      <c r="I401" s="2"/>
      <c r="J401" s="2"/>
      <c r="K401" s="2"/>
      <c r="L401" s="2"/>
      <c r="M401" s="75"/>
      <c r="N401" s="2"/>
      <c r="O401" s="2"/>
      <c r="P401" s="2"/>
      <c r="Q401" s="2"/>
      <c r="R401" s="2"/>
      <c r="AK401" s="2"/>
    </row>
    <row r="402" spans="8:37" ht="35.25" x14ac:dyDescent="0.25">
      <c r="H402" s="2"/>
      <c r="I402" s="2"/>
      <c r="J402" s="2"/>
      <c r="K402" s="2"/>
      <c r="L402" s="2"/>
      <c r="M402" s="75"/>
      <c r="N402" s="2"/>
      <c r="O402" s="2"/>
      <c r="P402" s="2"/>
      <c r="Q402" s="2"/>
      <c r="R402" s="2"/>
      <c r="AK402" s="2"/>
    </row>
    <row r="403" spans="8:37" ht="35.25" x14ac:dyDescent="0.25">
      <c r="H403" s="2"/>
      <c r="I403" s="2"/>
      <c r="J403" s="2"/>
      <c r="K403" s="2"/>
      <c r="L403" s="2"/>
      <c r="M403" s="75"/>
      <c r="N403" s="2"/>
      <c r="O403" s="2"/>
      <c r="P403" s="2"/>
      <c r="Q403" s="2"/>
      <c r="R403" s="2"/>
      <c r="AK403" s="2"/>
    </row>
    <row r="404" spans="8:37" ht="35.25" x14ac:dyDescent="0.25">
      <c r="H404" s="2"/>
      <c r="I404" s="2"/>
      <c r="J404" s="2"/>
      <c r="K404" s="2"/>
      <c r="L404" s="2"/>
      <c r="M404" s="75"/>
      <c r="N404" s="2"/>
      <c r="O404" s="2"/>
      <c r="P404" s="2"/>
      <c r="Q404" s="2"/>
      <c r="R404" s="2"/>
      <c r="AK404" s="2"/>
    </row>
    <row r="405" spans="8:37" ht="35.25" x14ac:dyDescent="0.25">
      <c r="H405" s="2"/>
      <c r="I405" s="2"/>
      <c r="J405" s="2"/>
      <c r="K405" s="2"/>
      <c r="L405" s="2"/>
      <c r="M405" s="75"/>
      <c r="N405" s="2"/>
      <c r="O405" s="2"/>
      <c r="P405" s="2"/>
      <c r="Q405" s="2"/>
      <c r="R405" s="2"/>
      <c r="AK405" s="2"/>
    </row>
    <row r="406" spans="8:37" ht="35.25" x14ac:dyDescent="0.25">
      <c r="H406" s="2"/>
      <c r="I406" s="2"/>
      <c r="J406" s="2"/>
      <c r="K406" s="2"/>
      <c r="L406" s="2"/>
      <c r="M406" s="75"/>
      <c r="N406" s="2"/>
      <c r="O406" s="2"/>
      <c r="P406" s="2"/>
      <c r="Q406" s="2"/>
      <c r="R406" s="2"/>
      <c r="AK406" s="2"/>
    </row>
    <row r="407" spans="8:37" ht="35.25" x14ac:dyDescent="0.25">
      <c r="H407" s="2"/>
      <c r="I407" s="2"/>
      <c r="J407" s="2"/>
      <c r="K407" s="2"/>
      <c r="L407" s="2"/>
      <c r="M407" s="75"/>
      <c r="N407" s="2"/>
      <c r="O407" s="2"/>
      <c r="P407" s="2"/>
      <c r="Q407" s="2"/>
      <c r="R407" s="2"/>
      <c r="AK407" s="2"/>
    </row>
    <row r="408" spans="8:37" ht="35.25" x14ac:dyDescent="0.25">
      <c r="H408" s="2"/>
      <c r="I408" s="2"/>
      <c r="J408" s="2"/>
      <c r="K408" s="2"/>
      <c r="L408" s="2"/>
      <c r="M408" s="75"/>
      <c r="N408" s="2"/>
      <c r="O408" s="2"/>
      <c r="P408" s="2"/>
      <c r="Q408" s="2"/>
      <c r="R408" s="2"/>
      <c r="AK408" s="2"/>
    </row>
    <row r="409" spans="8:37" ht="35.25" x14ac:dyDescent="0.25">
      <c r="H409" s="2"/>
      <c r="I409" s="2"/>
      <c r="J409" s="2"/>
      <c r="K409" s="2"/>
      <c r="L409" s="2"/>
      <c r="M409" s="75"/>
      <c r="N409" s="2"/>
      <c r="O409" s="2"/>
      <c r="P409" s="2"/>
      <c r="Q409" s="2"/>
      <c r="R409" s="2"/>
      <c r="AK409" s="2"/>
    </row>
    <row r="410" spans="8:37" ht="35.25" x14ac:dyDescent="0.25">
      <c r="H410" s="2"/>
      <c r="I410" s="2"/>
      <c r="J410" s="2"/>
      <c r="K410" s="2"/>
      <c r="L410" s="2"/>
      <c r="M410" s="75"/>
      <c r="N410" s="2"/>
      <c r="O410" s="2"/>
      <c r="P410" s="2"/>
      <c r="Q410" s="2"/>
      <c r="R410" s="2"/>
      <c r="AK410" s="2"/>
    </row>
    <row r="411" spans="8:37" ht="35.25" x14ac:dyDescent="0.25">
      <c r="H411" s="2"/>
      <c r="I411" s="2"/>
      <c r="J411" s="2"/>
      <c r="K411" s="2"/>
      <c r="L411" s="2"/>
      <c r="M411" s="75"/>
      <c r="N411" s="2"/>
      <c r="O411" s="2"/>
      <c r="P411" s="2"/>
      <c r="Q411" s="2"/>
      <c r="R411" s="2"/>
      <c r="AK411" s="2"/>
    </row>
    <row r="412" spans="8:37" ht="35.25" x14ac:dyDescent="0.25">
      <c r="H412" s="2"/>
      <c r="I412" s="2"/>
      <c r="J412" s="2"/>
      <c r="K412" s="2"/>
      <c r="L412" s="2"/>
      <c r="M412" s="75"/>
      <c r="N412" s="2"/>
      <c r="O412" s="2"/>
      <c r="P412" s="2"/>
      <c r="Q412" s="2"/>
      <c r="R412" s="2"/>
      <c r="AK412" s="2"/>
    </row>
    <row r="413" spans="8:37" ht="35.25" x14ac:dyDescent="0.25">
      <c r="H413" s="2"/>
      <c r="I413" s="2"/>
      <c r="J413" s="2"/>
      <c r="K413" s="2"/>
      <c r="L413" s="2"/>
      <c r="M413" s="75"/>
      <c r="N413" s="2"/>
      <c r="O413" s="2"/>
      <c r="P413" s="2"/>
      <c r="Q413" s="2"/>
      <c r="R413" s="2"/>
      <c r="AK413" s="2"/>
    </row>
    <row r="414" spans="8:37" ht="35.25" x14ac:dyDescent="0.25">
      <c r="H414" s="2"/>
      <c r="I414" s="2"/>
      <c r="J414" s="2"/>
      <c r="K414" s="2"/>
      <c r="L414" s="2"/>
      <c r="M414" s="75"/>
      <c r="N414" s="2"/>
      <c r="O414" s="2"/>
      <c r="P414" s="2"/>
      <c r="Q414" s="2"/>
      <c r="R414" s="2"/>
      <c r="AK414" s="2"/>
    </row>
    <row r="415" spans="8:37" ht="35.25" x14ac:dyDescent="0.25">
      <c r="H415" s="2"/>
      <c r="I415" s="2"/>
      <c r="J415" s="2"/>
      <c r="K415" s="2"/>
      <c r="L415" s="2"/>
      <c r="M415" s="75"/>
      <c r="N415" s="2"/>
      <c r="O415" s="2"/>
      <c r="P415" s="2"/>
      <c r="Q415" s="2"/>
      <c r="R415" s="2"/>
      <c r="AK415" s="2"/>
    </row>
    <row r="416" spans="8:37" ht="35.25" x14ac:dyDescent="0.25">
      <c r="H416" s="2"/>
      <c r="I416" s="2"/>
      <c r="J416" s="2"/>
      <c r="K416" s="2"/>
      <c r="L416" s="2"/>
      <c r="M416" s="75"/>
      <c r="N416" s="2"/>
      <c r="O416" s="2"/>
      <c r="P416" s="2"/>
      <c r="Q416" s="2"/>
      <c r="R416" s="2"/>
      <c r="AK416" s="2"/>
    </row>
    <row r="417" spans="8:37" ht="35.25" x14ac:dyDescent="0.25">
      <c r="H417" s="2"/>
      <c r="I417" s="2"/>
      <c r="J417" s="2"/>
      <c r="K417" s="2"/>
      <c r="L417" s="2"/>
      <c r="M417" s="75"/>
      <c r="N417" s="2"/>
      <c r="O417" s="2"/>
      <c r="P417" s="2"/>
      <c r="Q417" s="2"/>
      <c r="R417" s="2"/>
      <c r="AK417" s="2"/>
    </row>
    <row r="418" spans="8:37" ht="35.25" x14ac:dyDescent="0.25">
      <c r="H418" s="2"/>
      <c r="I418" s="2"/>
      <c r="J418" s="2"/>
      <c r="K418" s="2"/>
      <c r="L418" s="2"/>
      <c r="M418" s="75"/>
      <c r="N418" s="2"/>
      <c r="O418" s="2"/>
      <c r="P418" s="2"/>
      <c r="Q418" s="2"/>
      <c r="R418" s="2"/>
      <c r="AK418" s="2"/>
    </row>
    <row r="419" spans="8:37" ht="35.25" x14ac:dyDescent="0.25">
      <c r="H419" s="2"/>
      <c r="I419" s="2"/>
      <c r="J419" s="2"/>
      <c r="K419" s="2"/>
      <c r="L419" s="2"/>
      <c r="M419" s="75"/>
      <c r="N419" s="2"/>
      <c r="O419" s="2"/>
      <c r="P419" s="2"/>
      <c r="Q419" s="2"/>
      <c r="R419" s="2"/>
      <c r="AK419" s="2"/>
    </row>
    <row r="420" spans="8:37" ht="35.25" x14ac:dyDescent="0.25">
      <c r="H420" s="2"/>
      <c r="I420" s="2"/>
      <c r="J420" s="2"/>
      <c r="K420" s="2"/>
      <c r="L420" s="2"/>
      <c r="M420" s="75"/>
      <c r="N420" s="2"/>
      <c r="O420" s="2"/>
      <c r="P420" s="2"/>
      <c r="Q420" s="2"/>
      <c r="R420" s="2"/>
      <c r="AK420" s="2"/>
    </row>
    <row r="421" spans="8:37" ht="35.25" x14ac:dyDescent="0.25">
      <c r="H421" s="2"/>
      <c r="I421" s="2"/>
      <c r="J421" s="2"/>
      <c r="K421" s="2"/>
      <c r="L421" s="2"/>
      <c r="M421" s="75"/>
      <c r="N421" s="2"/>
      <c r="O421" s="2"/>
      <c r="P421" s="2"/>
      <c r="Q421" s="2"/>
      <c r="R421" s="2"/>
      <c r="AK421" s="2"/>
    </row>
    <row r="422" spans="8:37" ht="35.25" x14ac:dyDescent="0.25">
      <c r="H422" s="2"/>
      <c r="I422" s="2"/>
      <c r="J422" s="2"/>
      <c r="K422" s="2"/>
      <c r="L422" s="2"/>
      <c r="M422" s="75"/>
      <c r="N422" s="2"/>
      <c r="O422" s="2"/>
      <c r="P422" s="2"/>
      <c r="Q422" s="2"/>
      <c r="R422" s="2"/>
      <c r="AK422" s="2"/>
    </row>
    <row r="423" spans="8:37" ht="35.25" x14ac:dyDescent="0.25">
      <c r="H423" s="2"/>
      <c r="I423" s="2"/>
      <c r="J423" s="2"/>
      <c r="K423" s="2"/>
      <c r="L423" s="2"/>
      <c r="M423" s="75"/>
      <c r="N423" s="2"/>
      <c r="O423" s="2"/>
      <c r="P423" s="2"/>
      <c r="Q423" s="2"/>
      <c r="R423" s="2"/>
      <c r="AK423" s="2"/>
    </row>
    <row r="424" spans="8:37" ht="35.25" x14ac:dyDescent="0.25">
      <c r="H424" s="2"/>
      <c r="I424" s="2"/>
      <c r="J424" s="2"/>
      <c r="K424" s="2"/>
      <c r="L424" s="2"/>
      <c r="M424" s="75"/>
      <c r="N424" s="2"/>
      <c r="O424" s="2"/>
      <c r="P424" s="2"/>
      <c r="Q424" s="2"/>
      <c r="R424" s="2"/>
      <c r="AK424" s="2"/>
    </row>
    <row r="425" spans="8:37" ht="35.25" x14ac:dyDescent="0.25">
      <c r="H425" s="2"/>
      <c r="I425" s="2"/>
      <c r="J425" s="2"/>
      <c r="K425" s="2"/>
      <c r="L425" s="2"/>
      <c r="M425" s="75"/>
      <c r="N425" s="2"/>
      <c r="O425" s="2"/>
      <c r="P425" s="2"/>
      <c r="Q425" s="2"/>
      <c r="R425" s="2"/>
      <c r="AK425" s="2"/>
    </row>
    <row r="426" spans="8:37" ht="35.25" x14ac:dyDescent="0.25">
      <c r="H426" s="2"/>
      <c r="I426" s="2"/>
      <c r="J426" s="2"/>
      <c r="K426" s="2"/>
      <c r="L426" s="2"/>
      <c r="M426" s="75"/>
      <c r="N426" s="2"/>
      <c r="O426" s="2"/>
      <c r="P426" s="2"/>
      <c r="Q426" s="2"/>
      <c r="R426" s="2"/>
      <c r="AK426" s="2"/>
    </row>
    <row r="427" spans="8:37" ht="35.25" x14ac:dyDescent="0.25">
      <c r="H427" s="2"/>
      <c r="I427" s="2"/>
      <c r="J427" s="2"/>
      <c r="K427" s="2"/>
      <c r="L427" s="2"/>
      <c r="M427" s="75"/>
      <c r="N427" s="2"/>
      <c r="O427" s="2"/>
      <c r="P427" s="2"/>
      <c r="Q427" s="2"/>
      <c r="R427" s="2"/>
      <c r="AK427" s="2"/>
    </row>
    <row r="428" spans="8:37" ht="35.25" x14ac:dyDescent="0.25">
      <c r="H428" s="2"/>
      <c r="I428" s="2"/>
      <c r="J428" s="2"/>
      <c r="K428" s="2"/>
      <c r="L428" s="2"/>
      <c r="M428" s="75"/>
      <c r="N428" s="2"/>
      <c r="O428" s="2"/>
      <c r="P428" s="2"/>
      <c r="Q428" s="2"/>
      <c r="R428" s="2"/>
      <c r="AK428" s="2"/>
    </row>
    <row r="429" spans="8:37" ht="35.25" x14ac:dyDescent="0.25">
      <c r="H429" s="2"/>
      <c r="I429" s="2"/>
      <c r="J429" s="2"/>
      <c r="K429" s="2"/>
      <c r="L429" s="2"/>
      <c r="M429" s="75"/>
      <c r="N429" s="2"/>
      <c r="O429" s="2"/>
      <c r="P429" s="2"/>
      <c r="Q429" s="2"/>
      <c r="R429" s="2"/>
      <c r="AK429" s="2"/>
    </row>
    <row r="430" spans="8:37" ht="35.25" x14ac:dyDescent="0.25">
      <c r="H430" s="2"/>
      <c r="I430" s="2"/>
      <c r="J430" s="2"/>
      <c r="K430" s="2"/>
      <c r="L430" s="2"/>
      <c r="M430" s="75"/>
      <c r="N430" s="2"/>
      <c r="O430" s="2"/>
      <c r="P430" s="2"/>
      <c r="Q430" s="2"/>
      <c r="R430" s="2"/>
      <c r="AK430" s="2"/>
    </row>
    <row r="431" spans="8:37" ht="35.25" x14ac:dyDescent="0.25">
      <c r="H431" s="2"/>
      <c r="I431" s="2"/>
      <c r="J431" s="2"/>
      <c r="K431" s="2"/>
      <c r="L431" s="2"/>
      <c r="M431" s="75"/>
      <c r="N431" s="2"/>
      <c r="O431" s="2"/>
      <c r="P431" s="2"/>
      <c r="Q431" s="2"/>
      <c r="R431" s="2"/>
      <c r="AK431" s="2"/>
    </row>
    <row r="432" spans="8:37" ht="35.25" x14ac:dyDescent="0.25">
      <c r="H432" s="2"/>
      <c r="I432" s="2"/>
      <c r="J432" s="2"/>
      <c r="K432" s="2"/>
      <c r="L432" s="2"/>
      <c r="M432" s="75"/>
      <c r="N432" s="2"/>
      <c r="O432" s="2"/>
      <c r="P432" s="2"/>
      <c r="Q432" s="2"/>
      <c r="R432" s="2"/>
      <c r="AK432" s="2"/>
    </row>
    <row r="433" spans="8:37" ht="35.25" x14ac:dyDescent="0.25">
      <c r="H433" s="2"/>
      <c r="I433" s="2"/>
      <c r="J433" s="2"/>
      <c r="K433" s="2"/>
      <c r="L433" s="2"/>
      <c r="M433" s="75"/>
      <c r="N433" s="2"/>
      <c r="O433" s="2"/>
      <c r="P433" s="2"/>
      <c r="Q433" s="2"/>
      <c r="R433" s="2"/>
      <c r="AK433" s="2"/>
    </row>
    <row r="434" spans="8:37" ht="35.25" x14ac:dyDescent="0.25">
      <c r="H434" s="2"/>
      <c r="I434" s="2"/>
      <c r="J434" s="2"/>
      <c r="K434" s="2"/>
      <c r="L434" s="2"/>
      <c r="M434" s="75"/>
      <c r="N434" s="2"/>
      <c r="O434" s="2"/>
      <c r="P434" s="2"/>
      <c r="Q434" s="2"/>
      <c r="R434" s="2"/>
      <c r="AK434" s="2"/>
    </row>
    <row r="435" spans="8:37" ht="35.25" x14ac:dyDescent="0.25">
      <c r="H435" s="2"/>
      <c r="I435" s="2"/>
      <c r="J435" s="2"/>
      <c r="K435" s="2"/>
      <c r="L435" s="2"/>
      <c r="M435" s="75"/>
      <c r="N435" s="2"/>
      <c r="O435" s="2"/>
      <c r="P435" s="2"/>
      <c r="Q435" s="2"/>
      <c r="R435" s="2"/>
      <c r="AK435" s="2"/>
    </row>
    <row r="436" spans="8:37" ht="35.25" x14ac:dyDescent="0.25">
      <c r="H436" s="2"/>
      <c r="I436" s="2"/>
      <c r="J436" s="2"/>
      <c r="K436" s="2"/>
      <c r="L436" s="2"/>
      <c r="M436" s="75"/>
      <c r="N436" s="2"/>
      <c r="O436" s="2"/>
      <c r="P436" s="2"/>
      <c r="Q436" s="2"/>
      <c r="R436" s="2"/>
      <c r="AK436" s="2"/>
    </row>
    <row r="437" spans="8:37" ht="35.25" x14ac:dyDescent="0.25">
      <c r="H437" s="2"/>
      <c r="I437" s="2"/>
      <c r="J437" s="2"/>
      <c r="K437" s="2"/>
      <c r="L437" s="2"/>
      <c r="M437" s="75"/>
      <c r="N437" s="2"/>
      <c r="O437" s="2"/>
      <c r="P437" s="2"/>
      <c r="Q437" s="2"/>
      <c r="R437" s="2"/>
      <c r="AK437" s="2"/>
    </row>
    <row r="438" spans="8:37" ht="35.25" x14ac:dyDescent="0.25">
      <c r="H438" s="2"/>
      <c r="I438" s="2"/>
      <c r="J438" s="2"/>
      <c r="K438" s="2"/>
      <c r="L438" s="2"/>
      <c r="M438" s="75"/>
      <c r="N438" s="2"/>
      <c r="O438" s="2"/>
      <c r="P438" s="2"/>
      <c r="Q438" s="2"/>
      <c r="R438" s="2"/>
      <c r="AK438" s="2"/>
    </row>
    <row r="439" spans="8:37" ht="35.25" x14ac:dyDescent="0.25">
      <c r="H439" s="2"/>
      <c r="I439" s="2"/>
      <c r="J439" s="2"/>
      <c r="K439" s="2"/>
      <c r="L439" s="2"/>
      <c r="M439" s="75"/>
      <c r="N439" s="2"/>
      <c r="O439" s="2"/>
      <c r="P439" s="2"/>
      <c r="Q439" s="2"/>
      <c r="R439" s="2"/>
      <c r="AK439" s="2"/>
    </row>
    <row r="440" spans="8:37" ht="35.25" x14ac:dyDescent="0.25">
      <c r="H440" s="2"/>
      <c r="I440" s="2"/>
      <c r="J440" s="2"/>
      <c r="K440" s="2"/>
      <c r="L440" s="2"/>
      <c r="M440" s="75"/>
      <c r="N440" s="2"/>
      <c r="O440" s="2"/>
      <c r="P440" s="2"/>
      <c r="Q440" s="2"/>
      <c r="R440" s="2"/>
      <c r="AK440" s="2"/>
    </row>
    <row r="441" spans="8:37" ht="35.25" x14ac:dyDescent="0.25">
      <c r="H441" s="2"/>
      <c r="I441" s="2"/>
      <c r="J441" s="2"/>
      <c r="K441" s="2"/>
      <c r="L441" s="2"/>
      <c r="M441" s="75"/>
      <c r="N441" s="2"/>
      <c r="O441" s="2"/>
      <c r="P441" s="2"/>
      <c r="Q441" s="2"/>
      <c r="R441" s="2"/>
      <c r="AK441" s="2"/>
    </row>
    <row r="442" spans="8:37" ht="35.25" x14ac:dyDescent="0.25">
      <c r="H442" s="2"/>
      <c r="I442" s="2"/>
      <c r="J442" s="2"/>
      <c r="K442" s="2"/>
      <c r="L442" s="2"/>
      <c r="M442" s="75"/>
      <c r="N442" s="2"/>
      <c r="O442" s="2"/>
      <c r="P442" s="2"/>
      <c r="Q442" s="2"/>
      <c r="R442" s="2"/>
      <c r="AK442" s="2"/>
    </row>
    <row r="443" spans="8:37" ht="35.25" x14ac:dyDescent="0.25">
      <c r="H443" s="2"/>
      <c r="I443" s="2"/>
      <c r="J443" s="2"/>
      <c r="K443" s="2"/>
      <c r="L443" s="2"/>
      <c r="M443" s="75"/>
      <c r="N443" s="2"/>
      <c r="O443" s="2"/>
      <c r="P443" s="2"/>
      <c r="Q443" s="2"/>
      <c r="R443" s="2"/>
      <c r="AK443" s="2"/>
    </row>
    <row r="444" spans="8:37" ht="35.25" x14ac:dyDescent="0.25">
      <c r="H444" s="2"/>
      <c r="I444" s="2"/>
      <c r="J444" s="2"/>
      <c r="K444" s="2"/>
      <c r="L444" s="2"/>
      <c r="M444" s="75"/>
      <c r="N444" s="2"/>
      <c r="O444" s="2"/>
      <c r="P444" s="2"/>
      <c r="Q444" s="2"/>
      <c r="R444" s="2"/>
      <c r="AK444" s="2"/>
    </row>
    <row r="445" spans="8:37" ht="35.25" x14ac:dyDescent="0.25">
      <c r="H445" s="2"/>
      <c r="I445" s="2"/>
      <c r="J445" s="2"/>
      <c r="K445" s="2"/>
      <c r="L445" s="2"/>
      <c r="M445" s="75"/>
      <c r="N445" s="2"/>
      <c r="O445" s="2"/>
      <c r="P445" s="2"/>
      <c r="Q445" s="2"/>
      <c r="R445" s="2"/>
      <c r="AK445" s="2"/>
    </row>
    <row r="446" spans="8:37" ht="35.25" x14ac:dyDescent="0.25">
      <c r="H446" s="2"/>
      <c r="I446" s="2"/>
      <c r="J446" s="2"/>
      <c r="K446" s="2"/>
      <c r="L446" s="2"/>
      <c r="M446" s="75"/>
      <c r="N446" s="2"/>
      <c r="O446" s="2"/>
      <c r="P446" s="2"/>
      <c r="Q446" s="2"/>
      <c r="R446" s="2"/>
      <c r="AK446" s="2"/>
    </row>
    <row r="447" spans="8:37" ht="35.25" x14ac:dyDescent="0.25">
      <c r="H447" s="2"/>
      <c r="I447" s="2"/>
      <c r="J447" s="2"/>
      <c r="K447" s="2"/>
      <c r="L447" s="2"/>
      <c r="M447" s="75"/>
      <c r="N447" s="2"/>
      <c r="O447" s="2"/>
      <c r="P447" s="2"/>
      <c r="Q447" s="2"/>
      <c r="R447" s="2"/>
      <c r="AK447" s="2"/>
    </row>
    <row r="448" spans="8:37" ht="35.25" x14ac:dyDescent="0.25">
      <c r="H448" s="2"/>
      <c r="I448" s="2"/>
      <c r="J448" s="2"/>
      <c r="K448" s="2"/>
      <c r="L448" s="2"/>
      <c r="M448" s="75"/>
      <c r="N448" s="2"/>
      <c r="O448" s="2"/>
      <c r="P448" s="2"/>
      <c r="Q448" s="2"/>
      <c r="R448" s="2"/>
      <c r="AK448" s="2"/>
    </row>
    <row r="449" spans="8:37" ht="35.25" x14ac:dyDescent="0.25">
      <c r="H449" s="2"/>
      <c r="I449" s="2"/>
      <c r="J449" s="2"/>
      <c r="K449" s="2"/>
      <c r="L449" s="2"/>
      <c r="M449" s="75"/>
      <c r="N449" s="2"/>
      <c r="O449" s="2"/>
      <c r="P449" s="2"/>
      <c r="Q449" s="2"/>
      <c r="R449" s="2"/>
      <c r="AK449" s="2"/>
    </row>
    <row r="450" spans="8:37" ht="35.25" x14ac:dyDescent="0.25">
      <c r="H450" s="2"/>
      <c r="I450" s="2"/>
      <c r="J450" s="2"/>
      <c r="K450" s="2"/>
      <c r="L450" s="2"/>
      <c r="M450" s="75"/>
      <c r="N450" s="2"/>
      <c r="O450" s="2"/>
      <c r="P450" s="2"/>
      <c r="Q450" s="2"/>
      <c r="R450" s="2"/>
      <c r="AK450" s="2"/>
    </row>
    <row r="451" spans="8:37" ht="35.25" x14ac:dyDescent="0.25">
      <c r="H451" s="2"/>
      <c r="I451" s="2"/>
      <c r="J451" s="2"/>
      <c r="K451" s="2"/>
      <c r="L451" s="2"/>
      <c r="M451" s="75"/>
      <c r="N451" s="2"/>
      <c r="O451" s="2"/>
      <c r="P451" s="2"/>
      <c r="Q451" s="2"/>
      <c r="R451" s="2"/>
      <c r="AK451" s="2"/>
    </row>
    <row r="452" spans="8:37" ht="35.25" x14ac:dyDescent="0.25">
      <c r="H452" s="2"/>
      <c r="I452" s="2"/>
      <c r="J452" s="2"/>
      <c r="K452" s="2"/>
      <c r="L452" s="2"/>
      <c r="M452" s="75"/>
      <c r="N452" s="2"/>
      <c r="O452" s="2"/>
      <c r="P452" s="2"/>
      <c r="Q452" s="2"/>
      <c r="R452" s="2"/>
      <c r="AK452" s="2"/>
    </row>
    <row r="453" spans="8:37" ht="35.25" x14ac:dyDescent="0.25">
      <c r="H453" s="2"/>
      <c r="I453" s="2"/>
      <c r="J453" s="2"/>
      <c r="K453" s="2"/>
      <c r="L453" s="2"/>
      <c r="M453" s="75"/>
      <c r="N453" s="2"/>
      <c r="O453" s="2"/>
      <c r="P453" s="2"/>
      <c r="Q453" s="2"/>
      <c r="R453" s="2"/>
      <c r="AK453" s="2"/>
    </row>
    <row r="454" spans="8:37" ht="35.25" x14ac:dyDescent="0.25">
      <c r="H454" s="2"/>
      <c r="I454" s="2"/>
      <c r="J454" s="2"/>
      <c r="K454" s="2"/>
      <c r="L454" s="2"/>
      <c r="M454" s="75"/>
      <c r="N454" s="2"/>
      <c r="O454" s="2"/>
      <c r="P454" s="2"/>
      <c r="Q454" s="2"/>
      <c r="R454" s="2"/>
      <c r="AK454" s="2"/>
    </row>
    <row r="455" spans="8:37" ht="35.25" x14ac:dyDescent="0.25">
      <c r="H455" s="2"/>
      <c r="I455" s="2"/>
      <c r="J455" s="2"/>
      <c r="K455" s="2"/>
      <c r="L455" s="2"/>
      <c r="M455" s="75"/>
      <c r="N455" s="2"/>
      <c r="O455" s="2"/>
      <c r="P455" s="2"/>
      <c r="Q455" s="2"/>
      <c r="R455" s="2"/>
      <c r="AK455" s="2"/>
    </row>
    <row r="456" spans="8:37" ht="35.25" x14ac:dyDescent="0.25">
      <c r="H456" s="2"/>
      <c r="I456" s="2"/>
      <c r="J456" s="2"/>
      <c r="K456" s="2"/>
      <c r="L456" s="2"/>
      <c r="M456" s="75"/>
      <c r="N456" s="2"/>
      <c r="O456" s="2"/>
      <c r="P456" s="2"/>
      <c r="Q456" s="2"/>
      <c r="R456" s="2"/>
      <c r="AK456" s="2"/>
    </row>
    <row r="457" spans="8:37" ht="35.25" x14ac:dyDescent="0.25">
      <c r="H457" s="2"/>
      <c r="I457" s="2"/>
      <c r="J457" s="2"/>
      <c r="K457" s="2"/>
      <c r="L457" s="2"/>
      <c r="M457" s="75"/>
      <c r="N457" s="2"/>
      <c r="O457" s="2"/>
      <c r="P457" s="2"/>
      <c r="Q457" s="2"/>
      <c r="R457" s="2"/>
      <c r="AK457" s="2"/>
    </row>
    <row r="458" spans="8:37" ht="35.25" x14ac:dyDescent="0.25">
      <c r="H458" s="2"/>
      <c r="I458" s="2"/>
      <c r="J458" s="2"/>
      <c r="K458" s="2"/>
      <c r="L458" s="2"/>
      <c r="M458" s="75"/>
      <c r="N458" s="2"/>
      <c r="O458" s="2"/>
      <c r="P458" s="2"/>
      <c r="Q458" s="2"/>
      <c r="R458" s="2"/>
      <c r="AK458" s="2"/>
    </row>
    <row r="459" spans="8:37" ht="35.25" x14ac:dyDescent="0.25">
      <c r="H459" s="2"/>
      <c r="I459" s="2"/>
      <c r="J459" s="2"/>
      <c r="K459" s="2"/>
      <c r="L459" s="2"/>
      <c r="M459" s="75"/>
      <c r="N459" s="2"/>
      <c r="O459" s="2"/>
      <c r="P459" s="2"/>
      <c r="Q459" s="2"/>
      <c r="R459" s="2"/>
      <c r="AK459" s="2"/>
    </row>
    <row r="460" spans="8:37" ht="35.25" x14ac:dyDescent="0.25">
      <c r="H460" s="2"/>
      <c r="I460" s="2"/>
      <c r="J460" s="2"/>
      <c r="K460" s="2"/>
      <c r="L460" s="2"/>
      <c r="M460" s="75"/>
      <c r="N460" s="2"/>
      <c r="O460" s="2"/>
      <c r="P460" s="2"/>
      <c r="Q460" s="2"/>
      <c r="R460" s="2"/>
      <c r="AK460" s="2"/>
    </row>
    <row r="461" spans="8:37" ht="35.25" x14ac:dyDescent="0.25">
      <c r="H461" s="2"/>
      <c r="I461" s="2"/>
      <c r="J461" s="2"/>
      <c r="K461" s="2"/>
      <c r="L461" s="2"/>
      <c r="M461" s="75"/>
      <c r="N461" s="2"/>
      <c r="O461" s="2"/>
      <c r="P461" s="2"/>
      <c r="Q461" s="2"/>
      <c r="R461" s="2"/>
      <c r="AK461" s="2"/>
    </row>
    <row r="462" spans="8:37" ht="35.25" x14ac:dyDescent="0.25">
      <c r="H462" s="2"/>
      <c r="I462" s="2"/>
      <c r="J462" s="2"/>
      <c r="K462" s="2"/>
      <c r="L462" s="2"/>
      <c r="M462" s="75"/>
      <c r="N462" s="2"/>
      <c r="O462" s="2"/>
      <c r="P462" s="2"/>
      <c r="Q462" s="2"/>
      <c r="R462" s="2"/>
      <c r="AK462" s="2"/>
    </row>
    <row r="463" spans="8:37" ht="35.25" x14ac:dyDescent="0.25">
      <c r="H463" s="2"/>
      <c r="I463" s="2"/>
      <c r="J463" s="2"/>
      <c r="K463" s="2"/>
      <c r="L463" s="2"/>
      <c r="M463" s="75"/>
      <c r="N463" s="2"/>
      <c r="O463" s="2"/>
      <c r="P463" s="2"/>
      <c r="Q463" s="2"/>
      <c r="R463" s="2"/>
      <c r="AK463" s="2"/>
    </row>
    <row r="464" spans="8:37" ht="35.25" x14ac:dyDescent="0.25">
      <c r="H464" s="2"/>
      <c r="I464" s="2"/>
      <c r="J464" s="2"/>
      <c r="K464" s="2"/>
      <c r="L464" s="2"/>
      <c r="M464" s="75"/>
      <c r="N464" s="2"/>
      <c r="O464" s="2"/>
      <c r="P464" s="2"/>
      <c r="Q464" s="2"/>
      <c r="R464" s="2"/>
      <c r="AK464" s="2"/>
    </row>
    <row r="465" spans="8:37" ht="35.25" x14ac:dyDescent="0.25">
      <c r="H465" s="2"/>
      <c r="I465" s="2"/>
      <c r="J465" s="2"/>
      <c r="K465" s="2"/>
      <c r="L465" s="2"/>
      <c r="M465" s="75"/>
      <c r="N465" s="2"/>
      <c r="O465" s="2"/>
      <c r="P465" s="2"/>
      <c r="Q465" s="2"/>
      <c r="R465" s="2"/>
      <c r="AK465" s="2"/>
    </row>
    <row r="466" spans="8:37" ht="35.25" x14ac:dyDescent="0.25">
      <c r="H466" s="2"/>
      <c r="I466" s="2"/>
      <c r="J466" s="2"/>
      <c r="K466" s="2"/>
      <c r="L466" s="2"/>
      <c r="M466" s="75"/>
      <c r="N466" s="2"/>
      <c r="O466" s="2"/>
      <c r="P466" s="2"/>
      <c r="Q466" s="2"/>
      <c r="R466" s="2"/>
      <c r="AK466" s="2"/>
    </row>
    <row r="467" spans="8:37" ht="35.25" x14ac:dyDescent="0.25">
      <c r="H467" s="2"/>
      <c r="I467" s="2"/>
      <c r="J467" s="2"/>
      <c r="K467" s="2"/>
      <c r="L467" s="2"/>
      <c r="M467" s="75"/>
      <c r="N467" s="2"/>
      <c r="O467" s="2"/>
      <c r="P467" s="2"/>
      <c r="Q467" s="2"/>
      <c r="R467" s="2"/>
      <c r="AK467" s="2"/>
    </row>
    <row r="468" spans="8:37" ht="35.25" x14ac:dyDescent="0.25">
      <c r="H468" s="2"/>
      <c r="I468" s="2"/>
      <c r="J468" s="2"/>
      <c r="K468" s="2"/>
      <c r="L468" s="2"/>
      <c r="M468" s="75"/>
      <c r="N468" s="2"/>
      <c r="O468" s="2"/>
      <c r="P468" s="2"/>
      <c r="Q468" s="2"/>
      <c r="R468" s="2"/>
      <c r="AK468" s="2"/>
    </row>
    <row r="469" spans="8:37" ht="35.25" x14ac:dyDescent="0.25">
      <c r="H469" s="2"/>
      <c r="I469" s="2"/>
      <c r="J469" s="2"/>
      <c r="K469" s="2"/>
      <c r="L469" s="2"/>
      <c r="M469" s="75"/>
      <c r="N469" s="2"/>
      <c r="O469" s="2"/>
      <c r="P469" s="2"/>
      <c r="Q469" s="2"/>
      <c r="R469" s="2"/>
      <c r="AK469" s="2"/>
    </row>
    <row r="470" spans="8:37" ht="35.25" x14ac:dyDescent="0.25">
      <c r="H470" s="2"/>
      <c r="I470" s="2"/>
      <c r="J470" s="2"/>
      <c r="K470" s="2"/>
      <c r="L470" s="2"/>
      <c r="M470" s="75"/>
      <c r="N470" s="2"/>
      <c r="O470" s="2"/>
      <c r="P470" s="2"/>
      <c r="Q470" s="2"/>
      <c r="R470" s="2"/>
      <c r="AK470" s="2"/>
    </row>
    <row r="471" spans="8:37" ht="35.25" x14ac:dyDescent="0.25">
      <c r="H471" s="2"/>
      <c r="I471" s="2"/>
      <c r="J471" s="2"/>
      <c r="K471" s="2"/>
      <c r="L471" s="2"/>
      <c r="M471" s="75"/>
      <c r="N471" s="2"/>
      <c r="O471" s="2"/>
      <c r="P471" s="2"/>
      <c r="Q471" s="2"/>
      <c r="R471" s="2"/>
      <c r="AK471" s="2"/>
    </row>
    <row r="472" spans="8:37" ht="35.25" x14ac:dyDescent="0.25">
      <c r="H472" s="2"/>
      <c r="I472" s="2"/>
      <c r="J472" s="2"/>
      <c r="K472" s="2"/>
      <c r="L472" s="2"/>
      <c r="M472" s="75"/>
      <c r="N472" s="2"/>
      <c r="O472" s="2"/>
      <c r="P472" s="2"/>
      <c r="Q472" s="2"/>
      <c r="R472" s="2"/>
      <c r="AK472" s="2"/>
    </row>
    <row r="473" spans="8:37" ht="35.25" x14ac:dyDescent="0.25">
      <c r="H473" s="2"/>
      <c r="I473" s="2"/>
      <c r="J473" s="2"/>
      <c r="K473" s="2"/>
      <c r="L473" s="2"/>
      <c r="M473" s="75"/>
      <c r="N473" s="2"/>
      <c r="O473" s="2"/>
      <c r="P473" s="2"/>
      <c r="Q473" s="2"/>
      <c r="R473" s="2"/>
      <c r="AK473" s="2"/>
    </row>
    <row r="474" spans="8:37" ht="35.25" x14ac:dyDescent="0.25">
      <c r="H474" s="2"/>
      <c r="I474" s="2"/>
      <c r="J474" s="2"/>
      <c r="K474" s="2"/>
      <c r="L474" s="2"/>
      <c r="M474" s="75"/>
      <c r="N474" s="2"/>
      <c r="O474" s="2"/>
      <c r="P474" s="2"/>
      <c r="Q474" s="2"/>
      <c r="R474" s="2"/>
      <c r="AK474" s="2"/>
    </row>
    <row r="475" spans="8:37" ht="35.25" x14ac:dyDescent="0.25">
      <c r="H475" s="2"/>
      <c r="I475" s="2"/>
      <c r="J475" s="2"/>
      <c r="K475" s="2"/>
      <c r="L475" s="2"/>
      <c r="M475" s="75"/>
      <c r="N475" s="2"/>
      <c r="O475" s="2"/>
      <c r="P475" s="2"/>
      <c r="Q475" s="2"/>
      <c r="R475" s="2"/>
      <c r="AK475" s="2"/>
    </row>
    <row r="476" spans="8:37" ht="35.25" x14ac:dyDescent="0.25">
      <c r="H476" s="2"/>
      <c r="I476" s="2"/>
      <c r="J476" s="2"/>
      <c r="K476" s="2"/>
      <c r="L476" s="2"/>
      <c r="M476" s="75"/>
      <c r="N476" s="2"/>
      <c r="O476" s="2"/>
      <c r="P476" s="2"/>
      <c r="Q476" s="2"/>
      <c r="R476" s="2"/>
      <c r="AK476" s="2"/>
    </row>
    <row r="477" spans="8:37" ht="35.25" x14ac:dyDescent="0.25">
      <c r="H477" s="2"/>
      <c r="I477" s="2"/>
      <c r="J477" s="2"/>
      <c r="K477" s="2"/>
      <c r="L477" s="2"/>
      <c r="M477" s="75"/>
      <c r="N477" s="2"/>
      <c r="O477" s="2"/>
      <c r="P477" s="2"/>
      <c r="Q477" s="2"/>
      <c r="R477" s="2"/>
      <c r="AK477" s="2"/>
    </row>
    <row r="478" spans="8:37" ht="35.25" x14ac:dyDescent="0.25">
      <c r="H478" s="2"/>
      <c r="I478" s="2"/>
      <c r="J478" s="2"/>
      <c r="K478" s="2"/>
      <c r="L478" s="2"/>
      <c r="M478" s="75"/>
      <c r="N478" s="2"/>
      <c r="O478" s="2"/>
      <c r="P478" s="2"/>
      <c r="Q478" s="2"/>
      <c r="R478" s="2"/>
      <c r="AK478" s="2"/>
    </row>
    <row r="479" spans="8:37" ht="35.25" x14ac:dyDescent="0.25">
      <c r="H479" s="2"/>
      <c r="I479" s="2"/>
      <c r="J479" s="2"/>
      <c r="K479" s="2"/>
      <c r="L479" s="2"/>
      <c r="M479" s="75"/>
      <c r="N479" s="2"/>
      <c r="O479" s="2"/>
      <c r="P479" s="2"/>
      <c r="Q479" s="2"/>
      <c r="R479" s="2"/>
      <c r="AK479" s="2"/>
    </row>
    <row r="480" spans="8:37" ht="35.25" x14ac:dyDescent="0.25">
      <c r="H480" s="2"/>
      <c r="I480" s="2"/>
      <c r="J480" s="2"/>
      <c r="K480" s="2"/>
      <c r="L480" s="2"/>
      <c r="M480" s="75"/>
      <c r="N480" s="2"/>
      <c r="O480" s="2"/>
      <c r="P480" s="2"/>
      <c r="Q480" s="2"/>
      <c r="R480" s="2"/>
      <c r="AK480" s="2"/>
    </row>
    <row r="481" spans="8:37" ht="35.25" x14ac:dyDescent="0.25">
      <c r="H481" s="2"/>
      <c r="I481" s="2"/>
      <c r="J481" s="2"/>
      <c r="K481" s="2"/>
      <c r="L481" s="2"/>
      <c r="M481" s="75"/>
      <c r="N481" s="2"/>
      <c r="O481" s="2"/>
      <c r="P481" s="2"/>
      <c r="Q481" s="2"/>
      <c r="R481" s="2"/>
      <c r="AK481" s="2"/>
    </row>
    <row r="482" spans="8:37" ht="35.25" x14ac:dyDescent="0.25">
      <c r="H482" s="2"/>
      <c r="I482" s="2"/>
      <c r="J482" s="2"/>
      <c r="K482" s="2"/>
      <c r="L482" s="2"/>
      <c r="M482" s="75"/>
      <c r="N482" s="2"/>
      <c r="O482" s="2"/>
      <c r="P482" s="2"/>
      <c r="Q482" s="2"/>
      <c r="R482" s="2"/>
      <c r="AK482" s="2"/>
    </row>
    <row r="483" spans="8:37" ht="35.25" x14ac:dyDescent="0.25">
      <c r="H483" s="2"/>
      <c r="I483" s="2"/>
      <c r="J483" s="2"/>
      <c r="K483" s="2"/>
      <c r="L483" s="2"/>
      <c r="M483" s="75"/>
      <c r="N483" s="2"/>
      <c r="O483" s="2"/>
      <c r="P483" s="2"/>
      <c r="Q483" s="2"/>
      <c r="R483" s="2"/>
      <c r="AK483" s="2"/>
    </row>
    <row r="484" spans="8:37" ht="35.25" x14ac:dyDescent="0.25">
      <c r="H484" s="2"/>
      <c r="I484" s="2"/>
      <c r="J484" s="2"/>
      <c r="K484" s="2"/>
      <c r="L484" s="2"/>
      <c r="M484" s="75"/>
      <c r="N484" s="2"/>
      <c r="O484" s="2"/>
      <c r="P484" s="2"/>
      <c r="Q484" s="2"/>
      <c r="R484" s="2"/>
      <c r="AK484" s="2"/>
    </row>
    <row r="485" spans="8:37" ht="35.25" x14ac:dyDescent="0.25">
      <c r="H485" s="2"/>
      <c r="I485" s="2"/>
      <c r="J485" s="2"/>
      <c r="K485" s="2"/>
      <c r="L485" s="2"/>
      <c r="M485" s="75"/>
      <c r="N485" s="2"/>
      <c r="O485" s="2"/>
      <c r="P485" s="2"/>
      <c r="Q485" s="2"/>
      <c r="R485" s="2"/>
      <c r="AK485" s="2"/>
    </row>
    <row r="486" spans="8:37" ht="35.25" x14ac:dyDescent="0.25">
      <c r="H486" s="2"/>
      <c r="I486" s="2"/>
      <c r="J486" s="2"/>
      <c r="K486" s="2"/>
      <c r="L486" s="2"/>
      <c r="M486" s="75"/>
      <c r="N486" s="2"/>
      <c r="O486" s="2"/>
      <c r="P486" s="2"/>
      <c r="Q486" s="2"/>
      <c r="R486" s="2"/>
      <c r="AK486" s="2"/>
    </row>
    <row r="487" spans="8:37" ht="35.25" x14ac:dyDescent="0.25">
      <c r="H487" s="2"/>
      <c r="I487" s="2"/>
      <c r="J487" s="2"/>
      <c r="K487" s="2"/>
      <c r="L487" s="2"/>
      <c r="M487" s="75"/>
      <c r="N487" s="2"/>
      <c r="O487" s="2"/>
      <c r="P487" s="2"/>
      <c r="Q487" s="2"/>
      <c r="R487" s="2"/>
      <c r="AK487" s="2"/>
    </row>
    <row r="488" spans="8:37" ht="35.25" x14ac:dyDescent="0.25">
      <c r="H488" s="2"/>
      <c r="I488" s="2"/>
      <c r="J488" s="2"/>
      <c r="K488" s="2"/>
      <c r="L488" s="2"/>
      <c r="M488" s="75"/>
      <c r="N488" s="2"/>
      <c r="O488" s="2"/>
      <c r="P488" s="2"/>
      <c r="Q488" s="2"/>
      <c r="R488" s="2"/>
      <c r="AK488" s="2"/>
    </row>
    <row r="489" spans="8:37" ht="35.25" x14ac:dyDescent="0.25">
      <c r="H489" s="2"/>
      <c r="I489" s="2"/>
      <c r="J489" s="2"/>
      <c r="K489" s="2"/>
      <c r="L489" s="2"/>
      <c r="M489" s="75"/>
      <c r="N489" s="2"/>
      <c r="O489" s="2"/>
      <c r="P489" s="2"/>
      <c r="Q489" s="2"/>
      <c r="R489" s="2"/>
      <c r="AK489" s="2"/>
    </row>
    <row r="490" spans="8:37" ht="35.25" x14ac:dyDescent="0.25">
      <c r="H490" s="2"/>
      <c r="I490" s="2"/>
      <c r="J490" s="2"/>
      <c r="K490" s="2"/>
      <c r="L490" s="2"/>
      <c r="M490" s="75"/>
      <c r="N490" s="2"/>
      <c r="O490" s="2"/>
      <c r="P490" s="2"/>
      <c r="Q490" s="2"/>
      <c r="R490" s="2"/>
      <c r="AK490" s="2"/>
    </row>
    <row r="491" spans="8:37" ht="35.25" x14ac:dyDescent="0.25">
      <c r="H491" s="2"/>
      <c r="I491" s="2"/>
      <c r="J491" s="2"/>
      <c r="K491" s="2"/>
      <c r="L491" s="2"/>
      <c r="M491" s="75"/>
      <c r="N491" s="2"/>
      <c r="O491" s="2"/>
      <c r="P491" s="2"/>
      <c r="Q491" s="2"/>
      <c r="R491" s="2"/>
      <c r="AK491" s="2"/>
    </row>
    <row r="492" spans="8:37" ht="35.25" x14ac:dyDescent="0.25">
      <c r="H492" s="2"/>
      <c r="I492" s="2"/>
      <c r="J492" s="2"/>
      <c r="K492" s="2"/>
      <c r="L492" s="2"/>
      <c r="M492" s="75"/>
      <c r="N492" s="2"/>
      <c r="O492" s="2"/>
      <c r="P492" s="2"/>
      <c r="Q492" s="2"/>
      <c r="R492" s="2"/>
      <c r="AK492" s="2"/>
    </row>
    <row r="493" spans="8:37" ht="35.25" x14ac:dyDescent="0.25">
      <c r="H493" s="2"/>
      <c r="I493" s="2"/>
      <c r="J493" s="2"/>
      <c r="K493" s="2"/>
      <c r="L493" s="2"/>
      <c r="M493" s="75"/>
      <c r="N493" s="2"/>
      <c r="O493" s="2"/>
      <c r="P493" s="2"/>
      <c r="Q493" s="2"/>
      <c r="R493" s="2"/>
      <c r="AK493" s="2"/>
    </row>
    <row r="494" spans="8:37" ht="35.25" x14ac:dyDescent="0.25">
      <c r="H494" s="2"/>
      <c r="I494" s="2"/>
      <c r="J494" s="2"/>
      <c r="K494" s="2"/>
      <c r="L494" s="2"/>
      <c r="M494" s="75"/>
      <c r="N494" s="2"/>
      <c r="O494" s="2"/>
      <c r="P494" s="2"/>
      <c r="Q494" s="2"/>
      <c r="R494" s="2"/>
      <c r="AK494" s="2"/>
    </row>
    <row r="495" spans="8:37" ht="35.25" x14ac:dyDescent="0.25">
      <c r="H495" s="2"/>
      <c r="I495" s="2"/>
      <c r="J495" s="2"/>
      <c r="K495" s="2"/>
      <c r="L495" s="2"/>
      <c r="M495" s="75"/>
      <c r="N495" s="2"/>
      <c r="O495" s="2"/>
      <c r="P495" s="2"/>
      <c r="Q495" s="2"/>
      <c r="R495" s="2"/>
      <c r="AK495" s="2"/>
    </row>
    <row r="496" spans="8:37" ht="35.25" x14ac:dyDescent="0.25">
      <c r="H496" s="2"/>
      <c r="I496" s="2"/>
      <c r="J496" s="2"/>
      <c r="K496" s="2"/>
      <c r="L496" s="2"/>
      <c r="M496" s="75"/>
      <c r="N496" s="2"/>
      <c r="O496" s="2"/>
      <c r="P496" s="2"/>
      <c r="Q496" s="2"/>
      <c r="R496" s="2"/>
      <c r="AK496" s="2"/>
    </row>
    <row r="497" spans="8:37" ht="35.25" x14ac:dyDescent="0.25">
      <c r="H497" s="2"/>
      <c r="I497" s="2"/>
      <c r="J497" s="2"/>
      <c r="K497" s="2"/>
      <c r="L497" s="2"/>
      <c r="M497" s="75"/>
      <c r="N497" s="2"/>
      <c r="O497" s="2"/>
      <c r="P497" s="2"/>
      <c r="Q497" s="2"/>
      <c r="R497" s="2"/>
      <c r="AK497" s="2"/>
    </row>
    <row r="498" spans="8:37" ht="35.25" x14ac:dyDescent="0.25">
      <c r="H498" s="2"/>
      <c r="I498" s="2"/>
      <c r="J498" s="2"/>
      <c r="K498" s="2"/>
      <c r="L498" s="2"/>
      <c r="M498" s="75"/>
      <c r="N498" s="2"/>
      <c r="O498" s="2"/>
      <c r="P498" s="2"/>
      <c r="Q498" s="2"/>
      <c r="R498" s="2"/>
      <c r="AK498" s="2"/>
    </row>
    <row r="499" spans="8:37" ht="35.25" x14ac:dyDescent="0.25">
      <c r="H499" s="2"/>
      <c r="I499" s="2"/>
      <c r="J499" s="2"/>
      <c r="K499" s="2"/>
      <c r="L499" s="2"/>
      <c r="M499" s="75"/>
      <c r="N499" s="2"/>
      <c r="O499" s="2"/>
      <c r="P499" s="2"/>
      <c r="Q499" s="2"/>
      <c r="R499" s="2"/>
      <c r="AK499" s="2"/>
    </row>
  </sheetData>
  <conditionalFormatting sqref="D4">
    <cfRule type="expression" dxfId="95" priority="89">
      <formula>AND(LEN(#REF!)&lt;12,LEN(#REF!)&gt;1)</formula>
    </cfRule>
    <cfRule type="expression" dxfId="94" priority="90">
      <formula>LEN(#REF!)&gt;12</formula>
    </cfRule>
  </conditionalFormatting>
  <conditionalFormatting sqref="D4">
    <cfRule type="duplicateValues" dxfId="93" priority="221"/>
  </conditionalFormatting>
  <conditionalFormatting sqref="F8:F9">
    <cfRule type="expression" dxfId="92" priority="24">
      <formula>LEN($F8)&gt;12</formula>
    </cfRule>
    <cfRule type="expression" dxfId="91" priority="29">
      <formula>AND(LEN($F8)&lt;12,LEN($F8)&gt;=1)</formula>
    </cfRule>
  </conditionalFormatting>
  <conditionalFormatting sqref="E8:E9">
    <cfRule type="expression" dxfId="90" priority="23">
      <formula>LEN($E8)&gt;12</formula>
    </cfRule>
    <cfRule type="expression" dxfId="89" priority="26">
      <formula>AND(LEN($E8)&lt;12,LEN($E8)&gt;=1)</formula>
    </cfRule>
  </conditionalFormatting>
  <conditionalFormatting sqref="G8:G9">
    <cfRule type="expression" dxfId="88" priority="25">
      <formula>LEN($G8)&gt;12</formula>
    </cfRule>
    <cfRule type="expression" dxfId="87" priority="30">
      <formula>AND(LEN($G8)&lt;12,LEN($G8)&gt;=1)</formula>
    </cfRule>
  </conditionalFormatting>
  <conditionalFormatting sqref="J8:J9">
    <cfRule type="expression" dxfId="86" priority="4">
      <formula>LEN($J8)&gt;20</formula>
    </cfRule>
  </conditionalFormatting>
  <conditionalFormatting sqref="K8:K9">
    <cfRule type="expression" dxfId="85" priority="3">
      <formula>LEN($K8)&gt;15</formula>
    </cfRule>
  </conditionalFormatting>
  <conditionalFormatting sqref="D8:D9">
    <cfRule type="expression" dxfId="84" priority="2">
      <formula>LEN($D8)&gt;5</formula>
    </cfRule>
  </conditionalFormatting>
  <conditionalFormatting sqref="E8:G9">
    <cfRule type="duplicateValues" dxfId="83" priority="319"/>
  </conditionalFormatting>
  <pageMargins left="0.25" right="0.25" top="0.75" bottom="0.75" header="0.3" footer="0.3"/>
  <pageSetup paperSize="9" scale="61" firstPageNumber="2" fitToHeight="0" orientation="landscape" useFirstPageNumber="1" r:id="rId1"/>
  <headerFooter>
    <oddHeader>&amp;R&amp;G</oddHeader>
    <oddFooter>Seite &amp;P von &amp;N</oddFooter>
  </headerFooter>
  <rowBreaks count="1" manualBreakCount="1">
    <brk id="2" max="16383" man="1"/>
  </rowBreaks>
  <legacy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tabColor theme="1"/>
  </sheetPr>
  <dimension ref="A1:GG15"/>
  <sheetViews>
    <sheetView zoomScale="70" zoomScaleNormal="70" workbookViewId="0"/>
  </sheetViews>
  <sheetFormatPr baseColWidth="10" defaultRowHeight="15" x14ac:dyDescent="0.25"/>
  <cols>
    <col min="2" max="2" width="18.28515625" customWidth="1"/>
    <col min="3" max="3" width="14.42578125" customWidth="1"/>
    <col min="4" max="4" width="11.28515625" customWidth="1"/>
    <col min="10" max="19" width="8.85546875" customWidth="1"/>
    <col min="48" max="48" width="11" customWidth="1"/>
    <col min="62" max="62" width="12.28515625" customWidth="1"/>
    <col min="64" max="64" width="13.140625" customWidth="1"/>
    <col min="73" max="73" width="12.42578125" customWidth="1"/>
    <col min="74" max="76" width="11.85546875" customWidth="1"/>
    <col min="84" max="85" width="11.28515625" customWidth="1"/>
    <col min="86" max="86" width="11.7109375" customWidth="1"/>
    <col min="88" max="88" width="11.42578125" customWidth="1"/>
    <col min="98" max="98" width="11.28515625" customWidth="1"/>
    <col min="104" max="104" width="12.140625" customWidth="1"/>
    <col min="105" max="105" width="11.85546875" customWidth="1"/>
    <col min="114" max="114" width="13" customWidth="1"/>
    <col min="115" max="115" width="11.7109375" customWidth="1"/>
    <col min="118" max="119" width="14.5703125" customWidth="1"/>
    <col min="131" max="131" width="12.7109375" customWidth="1"/>
    <col min="132" max="132" width="12.42578125" customWidth="1"/>
    <col min="142" max="142" width="13" customWidth="1"/>
    <col min="146" max="146" width="15" customWidth="1"/>
    <col min="149" max="149" width="12.5703125" customWidth="1"/>
    <col min="154" max="154" width="11.28515625" customWidth="1"/>
  </cols>
  <sheetData>
    <row r="1" spans="1:189" x14ac:dyDescent="0.25">
      <c r="A1" s="12" t="s">
        <v>322</v>
      </c>
      <c r="B1" s="13" t="s">
        <v>2</v>
      </c>
      <c r="C1" s="77" t="s">
        <v>92</v>
      </c>
      <c r="D1" s="77" t="s">
        <v>323</v>
      </c>
      <c r="E1" s="77" t="s">
        <v>87</v>
      </c>
      <c r="F1" s="77" t="s">
        <v>324</v>
      </c>
      <c r="G1" s="77"/>
      <c r="H1" s="77" t="s">
        <v>94</v>
      </c>
      <c r="I1" s="77" t="s">
        <v>325</v>
      </c>
      <c r="J1" s="77" t="s">
        <v>326</v>
      </c>
      <c r="K1" s="14"/>
      <c r="L1" s="14"/>
      <c r="M1" s="14"/>
      <c r="N1" s="14"/>
      <c r="O1" s="14"/>
    </row>
    <row r="2" spans="1:189" x14ac:dyDescent="0.25">
      <c r="A2" s="12" t="s">
        <v>137</v>
      </c>
      <c r="B2" s="13"/>
      <c r="C2" s="78"/>
      <c r="D2" s="206" t="s">
        <v>638</v>
      </c>
      <c r="E2" s="207" t="s">
        <v>653</v>
      </c>
      <c r="F2" s="79"/>
      <c r="G2" s="80"/>
      <c r="H2" s="81"/>
      <c r="I2" s="79"/>
      <c r="J2" s="42"/>
    </row>
    <row r="3" spans="1:189" x14ac:dyDescent="0.25">
      <c r="A3" s="12" t="s">
        <v>322</v>
      </c>
      <c r="B3" s="16" t="s">
        <v>327</v>
      </c>
      <c r="C3" s="77" t="s">
        <v>328</v>
      </c>
      <c r="D3" s="77" t="s">
        <v>329</v>
      </c>
      <c r="E3" s="77" t="s">
        <v>9</v>
      </c>
      <c r="F3" s="77" t="s">
        <v>10</v>
      </c>
      <c r="G3" s="77" t="s">
        <v>11</v>
      </c>
      <c r="H3" s="77" t="s">
        <v>12</v>
      </c>
      <c r="I3" s="77" t="s">
        <v>13</v>
      </c>
      <c r="J3" s="77" t="s">
        <v>14</v>
      </c>
      <c r="K3" s="77" t="s">
        <v>15</v>
      </c>
      <c r="L3" s="77" t="s">
        <v>16</v>
      </c>
      <c r="M3" s="77" t="s">
        <v>17</v>
      </c>
      <c r="N3" s="77" t="s">
        <v>18</v>
      </c>
      <c r="O3" s="82" t="s">
        <v>330</v>
      </c>
      <c r="P3" s="77" t="s">
        <v>545</v>
      </c>
      <c r="V3" s="14"/>
      <c r="W3" s="14"/>
      <c r="X3" s="14"/>
      <c r="Y3" s="14"/>
      <c r="Z3" s="14"/>
    </row>
    <row r="4" spans="1:189" x14ac:dyDescent="0.25">
      <c r="A4" s="12" t="s">
        <v>590</v>
      </c>
      <c r="B4" s="17"/>
      <c r="C4" s="15"/>
      <c r="D4" s="18"/>
      <c r="E4" s="18"/>
      <c r="F4" s="19"/>
      <c r="G4" s="18"/>
      <c r="H4" s="18"/>
      <c r="I4" s="18"/>
      <c r="J4" s="18"/>
      <c r="K4" s="15"/>
      <c r="L4" s="18"/>
      <c r="M4" s="18"/>
      <c r="N4" s="18"/>
      <c r="O4" s="18"/>
      <c r="P4" s="83"/>
      <c r="V4" s="20"/>
      <c r="W4" s="20"/>
      <c r="X4" s="20"/>
      <c r="Y4" s="20"/>
      <c r="Z4" s="20"/>
    </row>
    <row r="5" spans="1:189" x14ac:dyDescent="0.25">
      <c r="A5" s="12" t="s">
        <v>322</v>
      </c>
      <c r="B5" s="16" t="s">
        <v>4</v>
      </c>
      <c r="C5" s="77" t="s">
        <v>331</v>
      </c>
      <c r="D5" s="77" t="s">
        <v>332</v>
      </c>
      <c r="E5" s="77" t="s">
        <v>9</v>
      </c>
      <c r="F5" s="77" t="s">
        <v>10</v>
      </c>
      <c r="G5" s="77" t="s">
        <v>11</v>
      </c>
      <c r="H5" s="77" t="s">
        <v>12</v>
      </c>
      <c r="I5" s="77" t="s">
        <v>13</v>
      </c>
      <c r="J5" s="77" t="s">
        <v>14</v>
      </c>
      <c r="K5" s="77" t="s">
        <v>15</v>
      </c>
      <c r="L5" s="77" t="s">
        <v>16</v>
      </c>
      <c r="M5" s="77" t="s">
        <v>17</v>
      </c>
      <c r="N5" s="77" t="s">
        <v>18</v>
      </c>
      <c r="O5" s="82" t="s">
        <v>330</v>
      </c>
      <c r="P5" s="77" t="s">
        <v>545</v>
      </c>
      <c r="V5" s="20"/>
      <c r="W5" s="20"/>
      <c r="X5" s="20"/>
      <c r="Y5" s="20"/>
      <c r="Z5" s="20"/>
    </row>
    <row r="6" spans="1:189" x14ac:dyDescent="0.25">
      <c r="A6" s="12" t="s">
        <v>591</v>
      </c>
      <c r="B6" s="84"/>
      <c r="C6" s="18"/>
      <c r="D6" s="18"/>
      <c r="E6" s="18"/>
      <c r="F6" s="19"/>
      <c r="G6" s="18"/>
      <c r="H6" s="18"/>
      <c r="I6" s="18"/>
      <c r="J6" s="18"/>
      <c r="K6" s="15"/>
      <c r="L6" s="18"/>
      <c r="M6" s="18"/>
      <c r="N6" s="18"/>
      <c r="O6" s="18"/>
      <c r="P6" s="83"/>
      <c r="V6" s="20"/>
      <c r="W6" s="20"/>
      <c r="X6" s="85"/>
      <c r="Y6" s="85"/>
      <c r="Z6" s="86"/>
      <c r="AA6" s="86"/>
      <c r="AB6" s="86"/>
      <c r="AC6" s="86"/>
      <c r="AD6" s="86"/>
      <c r="AE6" s="86"/>
      <c r="AF6" s="86"/>
      <c r="AG6" s="86"/>
      <c r="AH6" s="86"/>
      <c r="AI6" s="21"/>
    </row>
    <row r="7" spans="1:189" x14ac:dyDescent="0.25">
      <c r="A7" s="12" t="s">
        <v>322</v>
      </c>
      <c r="B7" s="22" t="s">
        <v>333</v>
      </c>
      <c r="C7" s="77" t="s">
        <v>334</v>
      </c>
      <c r="D7" s="77" t="s">
        <v>335</v>
      </c>
      <c r="E7" s="77" t="s">
        <v>336</v>
      </c>
      <c r="F7" s="77" t="s">
        <v>337</v>
      </c>
      <c r="G7" s="77" t="s">
        <v>91</v>
      </c>
      <c r="H7" s="77" t="s">
        <v>338</v>
      </c>
      <c r="I7" s="77" t="s">
        <v>540</v>
      </c>
      <c r="J7" s="96" t="s">
        <v>541</v>
      </c>
      <c r="K7" s="96" t="s">
        <v>601</v>
      </c>
      <c r="L7" s="88"/>
      <c r="M7" s="88"/>
      <c r="N7" s="87"/>
      <c r="O7" s="87"/>
      <c r="V7" s="20"/>
      <c r="W7" s="20"/>
      <c r="X7" s="23"/>
      <c r="Y7" s="23"/>
      <c r="Z7" s="23"/>
      <c r="AA7" s="23"/>
      <c r="AB7" s="23"/>
      <c r="AC7" s="23"/>
      <c r="AD7" s="23"/>
      <c r="AE7" s="23"/>
      <c r="AF7" s="23"/>
    </row>
    <row r="8" spans="1:189" x14ac:dyDescent="0.25">
      <c r="A8" s="12" t="s">
        <v>592</v>
      </c>
      <c r="B8" s="22"/>
      <c r="C8" s="78"/>
      <c r="D8" s="78"/>
      <c r="E8" s="78"/>
      <c r="F8" s="78"/>
      <c r="G8" s="78"/>
      <c r="H8" s="78"/>
      <c r="I8" s="76"/>
      <c r="J8" s="95"/>
      <c r="K8" s="95"/>
      <c r="V8" s="20"/>
      <c r="W8" s="20"/>
    </row>
    <row r="9" spans="1:189" x14ac:dyDescent="0.25">
      <c r="A9" s="12" t="s">
        <v>339</v>
      </c>
      <c r="B9" s="22" t="s">
        <v>593</v>
      </c>
      <c r="C9" s="25"/>
      <c r="D9" s="43"/>
      <c r="E9" s="43"/>
      <c r="F9" s="44"/>
      <c r="V9" s="20"/>
      <c r="W9" s="20"/>
      <c r="X9" s="26"/>
      <c r="Y9" s="26"/>
      <c r="Z9" s="26"/>
      <c r="AA9" s="26"/>
      <c r="AB9" s="26"/>
      <c r="AC9" s="26"/>
      <c r="AD9" s="26"/>
      <c r="AE9" s="26"/>
      <c r="AF9" s="26"/>
    </row>
    <row r="10" spans="1:189" x14ac:dyDescent="0.25">
      <c r="A10" s="12" t="s">
        <v>322</v>
      </c>
      <c r="B10" s="22" t="s">
        <v>24</v>
      </c>
      <c r="C10" s="77" t="s">
        <v>340</v>
      </c>
      <c r="D10" s="77" t="s">
        <v>341</v>
      </c>
      <c r="E10" s="77" t="s">
        <v>342</v>
      </c>
      <c r="F10" s="77" t="s">
        <v>30</v>
      </c>
      <c r="G10" s="77" t="s">
        <v>31</v>
      </c>
      <c r="H10" s="77" t="s">
        <v>33</v>
      </c>
      <c r="I10" s="77" t="s">
        <v>35</v>
      </c>
      <c r="J10" s="77" t="s">
        <v>38</v>
      </c>
      <c r="K10" s="77" t="s">
        <v>343</v>
      </c>
      <c r="L10" s="77" t="s">
        <v>344</v>
      </c>
      <c r="M10" s="77" t="s">
        <v>44</v>
      </c>
      <c r="N10" s="82" t="s">
        <v>345</v>
      </c>
      <c r="O10" s="77" t="s">
        <v>559</v>
      </c>
      <c r="P10" s="77" t="s">
        <v>607</v>
      </c>
      <c r="Q10" s="77" t="s">
        <v>608</v>
      </c>
      <c r="R10" s="77" t="s">
        <v>560</v>
      </c>
      <c r="S10" s="82" t="s">
        <v>623</v>
      </c>
      <c r="AB10" s="20"/>
      <c r="AC10" s="20"/>
      <c r="AD10" s="20"/>
      <c r="AE10" s="20"/>
      <c r="AF10" s="20"/>
    </row>
    <row r="11" spans="1:189" x14ac:dyDescent="0.25">
      <c r="A11" s="12" t="s">
        <v>594</v>
      </c>
      <c r="B11" s="24"/>
      <c r="C11" s="78"/>
      <c r="D11" s="78"/>
      <c r="E11" s="78"/>
      <c r="F11" s="78"/>
      <c r="G11" s="89"/>
      <c r="H11" s="78"/>
      <c r="I11" s="78"/>
      <c r="J11" s="78"/>
      <c r="K11" s="78"/>
      <c r="L11" s="78"/>
      <c r="M11" s="78"/>
      <c r="N11" s="90"/>
      <c r="O11" s="95"/>
      <c r="P11" s="95"/>
      <c r="Q11" s="95"/>
      <c r="R11" s="95"/>
      <c r="S11" s="90"/>
      <c r="AB11" s="20"/>
      <c r="AC11" s="20"/>
      <c r="AD11" s="20"/>
      <c r="AE11" s="20"/>
      <c r="AF11" s="20"/>
    </row>
    <row r="12" spans="1:189" x14ac:dyDescent="0.25">
      <c r="A12" s="12" t="s">
        <v>322</v>
      </c>
      <c r="B12" s="22" t="s">
        <v>28</v>
      </c>
      <c r="C12" s="77" t="s">
        <v>346</v>
      </c>
      <c r="D12" s="77" t="s">
        <v>347</v>
      </c>
      <c r="E12" s="77" t="s">
        <v>348</v>
      </c>
      <c r="F12" s="77" t="s">
        <v>349</v>
      </c>
      <c r="G12" s="77" t="s">
        <v>350</v>
      </c>
      <c r="H12" s="77" t="s">
        <v>351</v>
      </c>
      <c r="I12" s="77" t="s">
        <v>352</v>
      </c>
      <c r="J12" s="77" t="s">
        <v>353</v>
      </c>
      <c r="K12" s="77" t="s">
        <v>354</v>
      </c>
      <c r="L12" s="77" t="s">
        <v>355</v>
      </c>
      <c r="M12" s="77" t="s">
        <v>356</v>
      </c>
      <c r="N12" s="77" t="s">
        <v>357</v>
      </c>
      <c r="O12" s="109" t="s">
        <v>358</v>
      </c>
      <c r="P12" s="109" t="s">
        <v>359</v>
      </c>
    </row>
    <row r="13" spans="1:189" s="21" customFormat="1" x14ac:dyDescent="0.25">
      <c r="A13" s="28" t="s">
        <v>595</v>
      </c>
      <c r="B13" s="29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</row>
    <row r="14" spans="1:189" s="21" customFormat="1" ht="60" x14ac:dyDescent="0.25">
      <c r="A14" s="28" t="s">
        <v>322</v>
      </c>
      <c r="B14" s="30" t="s">
        <v>360</v>
      </c>
      <c r="C14" s="50" t="s">
        <v>54</v>
      </c>
      <c r="D14" s="50" t="s">
        <v>620</v>
      </c>
      <c r="E14" s="50" t="s">
        <v>621</v>
      </c>
      <c r="F14" s="50" t="s">
        <v>622</v>
      </c>
      <c r="G14" s="50" t="s">
        <v>56</v>
      </c>
      <c r="H14" s="50" t="s">
        <v>57</v>
      </c>
      <c r="I14" s="51" t="s">
        <v>58</v>
      </c>
      <c r="J14" s="50" t="s">
        <v>59</v>
      </c>
      <c r="K14" s="50" t="s">
        <v>60</v>
      </c>
      <c r="L14" s="50" t="s">
        <v>61</v>
      </c>
      <c r="M14" s="50" t="s">
        <v>62</v>
      </c>
      <c r="N14" s="50" t="s">
        <v>63</v>
      </c>
      <c r="O14" s="50" t="s">
        <v>64</v>
      </c>
      <c r="P14" s="50" t="s">
        <v>65</v>
      </c>
      <c r="Q14" s="50" t="s">
        <v>361</v>
      </c>
      <c r="R14" s="52" t="s">
        <v>67</v>
      </c>
      <c r="S14" s="50" t="s">
        <v>68</v>
      </c>
      <c r="T14" s="50" t="s">
        <v>69</v>
      </c>
      <c r="U14" s="50" t="s">
        <v>70</v>
      </c>
      <c r="V14" s="50" t="s">
        <v>71</v>
      </c>
      <c r="W14" s="50" t="s">
        <v>72</v>
      </c>
      <c r="X14" s="50" t="s">
        <v>73</v>
      </c>
      <c r="Y14" s="50" t="s">
        <v>74</v>
      </c>
      <c r="Z14" s="50" t="s">
        <v>75</v>
      </c>
      <c r="AA14" s="53" t="s">
        <v>76</v>
      </c>
      <c r="AB14" s="54" t="s">
        <v>77</v>
      </c>
      <c r="AC14" s="31" t="s">
        <v>362</v>
      </c>
      <c r="AD14" s="31" t="s">
        <v>614</v>
      </c>
      <c r="AE14" s="31" t="s">
        <v>615</v>
      </c>
      <c r="AF14" s="31" t="s">
        <v>616</v>
      </c>
      <c r="AG14" s="31" t="s">
        <v>617</v>
      </c>
      <c r="AH14" s="31" t="s">
        <v>618</v>
      </c>
      <c r="AI14" s="31" t="s">
        <v>363</v>
      </c>
      <c r="AJ14" s="31" t="s">
        <v>364</v>
      </c>
      <c r="AK14" s="31" t="s">
        <v>365</v>
      </c>
      <c r="AL14" s="31" t="s">
        <v>366</v>
      </c>
      <c r="AM14" s="32" t="s">
        <v>367</v>
      </c>
      <c r="AN14" s="33" t="s">
        <v>368</v>
      </c>
      <c r="AO14" s="33" t="s">
        <v>369</v>
      </c>
      <c r="AP14" s="33" t="s">
        <v>370</v>
      </c>
      <c r="AQ14" s="33" t="s">
        <v>371</v>
      </c>
      <c r="AR14" s="33" t="s">
        <v>372</v>
      </c>
      <c r="AS14" s="33" t="s">
        <v>373</v>
      </c>
      <c r="AT14" s="33" t="s">
        <v>374</v>
      </c>
      <c r="AU14" s="33" t="s">
        <v>375</v>
      </c>
      <c r="AV14" s="33" t="s">
        <v>376</v>
      </c>
      <c r="AW14" s="34" t="s">
        <v>377</v>
      </c>
      <c r="AX14" s="34" t="s">
        <v>378</v>
      </c>
      <c r="AY14" s="34" t="s">
        <v>379</v>
      </c>
      <c r="AZ14" s="34" t="s">
        <v>380</v>
      </c>
      <c r="BA14" s="34" t="s">
        <v>381</v>
      </c>
      <c r="BB14" s="35" t="s">
        <v>382</v>
      </c>
      <c r="BC14" s="35" t="s">
        <v>383</v>
      </c>
      <c r="BD14" s="35" t="s">
        <v>384</v>
      </c>
      <c r="BE14" s="35" t="s">
        <v>385</v>
      </c>
      <c r="BF14" s="35" t="s">
        <v>386</v>
      </c>
      <c r="BG14" s="35" t="s">
        <v>387</v>
      </c>
      <c r="BH14" s="35" t="s">
        <v>388</v>
      </c>
      <c r="BI14" s="35" t="s">
        <v>389</v>
      </c>
      <c r="BJ14" s="36" t="s">
        <v>390</v>
      </c>
      <c r="BK14" s="37" t="s">
        <v>391</v>
      </c>
      <c r="BL14" s="37" t="s">
        <v>392</v>
      </c>
      <c r="BM14" s="37" t="s">
        <v>393</v>
      </c>
      <c r="BN14" s="91" t="s">
        <v>394</v>
      </c>
      <c r="BO14" s="91" t="s">
        <v>395</v>
      </c>
      <c r="BP14" s="92" t="s">
        <v>396</v>
      </c>
      <c r="BQ14" s="91" t="s">
        <v>397</v>
      </c>
      <c r="BR14" s="91" t="s">
        <v>398</v>
      </c>
      <c r="BS14" s="91" t="s">
        <v>399</v>
      </c>
      <c r="BT14" s="93" t="s">
        <v>400</v>
      </c>
      <c r="BU14" s="93" t="s">
        <v>401</v>
      </c>
      <c r="BV14" s="93" t="s">
        <v>402</v>
      </c>
      <c r="BW14" s="93" t="s">
        <v>403</v>
      </c>
      <c r="BX14" s="93" t="s">
        <v>404</v>
      </c>
      <c r="BY14" s="93" t="s">
        <v>405</v>
      </c>
      <c r="BZ14" s="93" t="s">
        <v>406</v>
      </c>
      <c r="CA14" s="94" t="s">
        <v>407</v>
      </c>
      <c r="CB14" s="94" t="s">
        <v>408</v>
      </c>
      <c r="CC14" s="94" t="s">
        <v>409</v>
      </c>
      <c r="CD14" s="94" t="s">
        <v>410</v>
      </c>
      <c r="CE14" s="94" t="s">
        <v>411</v>
      </c>
      <c r="CF14" s="94" t="s">
        <v>412</v>
      </c>
      <c r="CG14" s="94" t="s">
        <v>413</v>
      </c>
      <c r="CH14" s="94" t="s">
        <v>414</v>
      </c>
      <c r="CI14" s="38" t="s">
        <v>415</v>
      </c>
      <c r="CJ14" s="38" t="s">
        <v>416</v>
      </c>
      <c r="CK14" s="38" t="s">
        <v>417</v>
      </c>
      <c r="CL14" s="38" t="s">
        <v>418</v>
      </c>
      <c r="CM14" s="38" t="s">
        <v>419</v>
      </c>
      <c r="CN14" s="38" t="s">
        <v>420</v>
      </c>
      <c r="CO14" s="38" t="s">
        <v>421</v>
      </c>
      <c r="CP14" s="38" t="s">
        <v>422</v>
      </c>
      <c r="CQ14" s="38" t="s">
        <v>423</v>
      </c>
      <c r="CR14" s="38" t="s">
        <v>424</v>
      </c>
      <c r="CS14" s="38" t="s">
        <v>425</v>
      </c>
      <c r="CT14" s="38" t="s">
        <v>426</v>
      </c>
      <c r="CU14" s="38" t="s">
        <v>427</v>
      </c>
      <c r="CV14" s="38" t="s">
        <v>428</v>
      </c>
      <c r="CW14" s="38" t="s">
        <v>429</v>
      </c>
      <c r="CX14" s="38" t="s">
        <v>430</v>
      </c>
      <c r="CY14" s="38" t="s">
        <v>431</v>
      </c>
      <c r="CZ14" s="38" t="s">
        <v>432</v>
      </c>
      <c r="DA14" s="38" t="s">
        <v>433</v>
      </c>
      <c r="DB14" s="38" t="s">
        <v>434</v>
      </c>
      <c r="DC14" s="38" t="s">
        <v>435</v>
      </c>
      <c r="DD14" s="38" t="s">
        <v>436</v>
      </c>
      <c r="DE14" s="38" t="s">
        <v>437</v>
      </c>
      <c r="DF14" s="38" t="s">
        <v>438</v>
      </c>
      <c r="DG14" s="38" t="s">
        <v>439</v>
      </c>
      <c r="DH14" s="38" t="s">
        <v>440</v>
      </c>
      <c r="DI14" s="38" t="s">
        <v>441</v>
      </c>
      <c r="DJ14" s="38" t="s">
        <v>442</v>
      </c>
      <c r="DK14" s="38" t="s">
        <v>443</v>
      </c>
      <c r="DL14" s="38" t="s">
        <v>444</v>
      </c>
      <c r="DM14" s="38" t="s">
        <v>445</v>
      </c>
      <c r="DN14" s="38" t="s">
        <v>446</v>
      </c>
      <c r="DO14" s="38" t="s">
        <v>447</v>
      </c>
      <c r="DP14" s="38" t="s">
        <v>448</v>
      </c>
      <c r="DQ14" s="39" t="s">
        <v>449</v>
      </c>
      <c r="DR14" s="39" t="s">
        <v>450</v>
      </c>
      <c r="DS14" s="39" t="s">
        <v>451</v>
      </c>
      <c r="DT14" s="39" t="s">
        <v>452</v>
      </c>
      <c r="DU14" s="39" t="s">
        <v>453</v>
      </c>
      <c r="DV14" s="39" t="s">
        <v>454</v>
      </c>
      <c r="DW14" s="39" t="s">
        <v>455</v>
      </c>
      <c r="DX14" s="39" t="s">
        <v>456</v>
      </c>
      <c r="DY14" s="39" t="s">
        <v>457</v>
      </c>
      <c r="DZ14" s="39" t="s">
        <v>458</v>
      </c>
      <c r="EA14" s="39" t="s">
        <v>459</v>
      </c>
      <c r="EB14" s="39" t="s">
        <v>460</v>
      </c>
      <c r="EC14" s="39" t="s">
        <v>449</v>
      </c>
      <c r="ED14" s="39" t="s">
        <v>461</v>
      </c>
      <c r="EE14" s="39" t="s">
        <v>462</v>
      </c>
      <c r="EF14" s="39" t="s">
        <v>463</v>
      </c>
      <c r="EG14" s="39" t="s">
        <v>464</v>
      </c>
      <c r="EH14" s="39" t="s">
        <v>465</v>
      </c>
      <c r="EI14" s="39" t="s">
        <v>466</v>
      </c>
      <c r="EJ14" s="39" t="s">
        <v>467</v>
      </c>
      <c r="EK14" s="39" t="s">
        <v>468</v>
      </c>
      <c r="EL14" s="39" t="s">
        <v>469</v>
      </c>
      <c r="EM14" s="39" t="s">
        <v>470</v>
      </c>
      <c r="EN14" s="39" t="s">
        <v>471</v>
      </c>
      <c r="EO14" s="39" t="s">
        <v>472</v>
      </c>
      <c r="EP14" s="39" t="s">
        <v>473</v>
      </c>
      <c r="EQ14" s="39" t="s">
        <v>474</v>
      </c>
      <c r="ER14" s="39" t="s">
        <v>475</v>
      </c>
      <c r="ES14" s="39" t="s">
        <v>476</v>
      </c>
      <c r="ET14" s="39" t="s">
        <v>477</v>
      </c>
      <c r="EU14" s="39" t="s">
        <v>478</v>
      </c>
      <c r="EV14" s="39" t="s">
        <v>479</v>
      </c>
      <c r="EW14" s="39" t="s">
        <v>480</v>
      </c>
      <c r="EX14" s="39" t="s">
        <v>481</v>
      </c>
      <c r="EY14" s="39" t="s">
        <v>482</v>
      </c>
      <c r="EZ14" s="39" t="s">
        <v>483</v>
      </c>
      <c r="FA14" s="40" t="s">
        <v>484</v>
      </c>
      <c r="FB14" s="40" t="s">
        <v>485</v>
      </c>
      <c r="FC14" s="40" t="s">
        <v>486</v>
      </c>
      <c r="FD14" s="41" t="s">
        <v>487</v>
      </c>
      <c r="FE14" s="41" t="s">
        <v>488</v>
      </c>
      <c r="FF14" s="40" t="s">
        <v>489</v>
      </c>
      <c r="FG14" s="40" t="s">
        <v>490</v>
      </c>
      <c r="FH14" s="40" t="s">
        <v>491</v>
      </c>
      <c r="FI14" s="41" t="s">
        <v>492</v>
      </c>
      <c r="FJ14" s="41" t="s">
        <v>493</v>
      </c>
      <c r="FK14" s="40" t="s">
        <v>494</v>
      </c>
      <c r="FL14" s="40" t="s">
        <v>495</v>
      </c>
      <c r="FM14" s="40" t="s">
        <v>496</v>
      </c>
      <c r="FN14" s="41" t="s">
        <v>497</v>
      </c>
      <c r="FO14" s="41" t="s">
        <v>498</v>
      </c>
      <c r="FP14" s="40" t="s">
        <v>499</v>
      </c>
      <c r="FQ14" s="40" t="s">
        <v>500</v>
      </c>
      <c r="FR14" s="40" t="s">
        <v>501</v>
      </c>
      <c r="FS14" s="41" t="s">
        <v>502</v>
      </c>
      <c r="FT14" s="41" t="s">
        <v>503</v>
      </c>
      <c r="FU14" s="40" t="s">
        <v>504</v>
      </c>
      <c r="FV14" s="40" t="s">
        <v>505</v>
      </c>
      <c r="FW14" s="40" t="s">
        <v>506</v>
      </c>
      <c r="FX14" s="41" t="s">
        <v>507</v>
      </c>
      <c r="FY14" s="41" t="s">
        <v>508</v>
      </c>
      <c r="FZ14" s="40" t="s">
        <v>509</v>
      </c>
      <c r="GA14" s="40" t="s">
        <v>510</v>
      </c>
      <c r="GB14" s="40" t="s">
        <v>511</v>
      </c>
      <c r="GC14" s="40" t="s">
        <v>512</v>
      </c>
      <c r="GD14" s="40" t="s">
        <v>513</v>
      </c>
      <c r="GE14" s="208" t="s">
        <v>639</v>
      </c>
      <c r="GF14" s="208" t="s">
        <v>640</v>
      </c>
      <c r="GG14" s="208" t="s">
        <v>641</v>
      </c>
    </row>
    <row r="15" spans="1:189" x14ac:dyDescent="0.25">
      <c r="A15" s="12" t="s">
        <v>153</v>
      </c>
      <c r="B15" s="27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8"/>
      <c r="AJ15" s="78"/>
      <c r="AK15" s="78"/>
      <c r="AL15" s="78"/>
      <c r="AM15" s="78">
        <v>1</v>
      </c>
      <c r="AN15" s="78">
        <v>31</v>
      </c>
      <c r="AO15" s="78" t="s">
        <v>514</v>
      </c>
      <c r="AP15" s="78">
        <v>100</v>
      </c>
      <c r="AQ15" s="78">
        <v>10</v>
      </c>
      <c r="AR15" s="78">
        <v>11</v>
      </c>
      <c r="AS15" s="78" t="s">
        <v>515</v>
      </c>
      <c r="AT15" s="78" t="s">
        <v>516</v>
      </c>
      <c r="AU15" s="78">
        <v>1234.5999999999999</v>
      </c>
      <c r="AV15" s="78" t="s">
        <v>517</v>
      </c>
      <c r="AW15" s="78" t="s">
        <v>137</v>
      </c>
      <c r="AX15" s="78">
        <v>110</v>
      </c>
      <c r="AY15" s="78" t="s">
        <v>518</v>
      </c>
      <c r="AZ15" s="78">
        <v>0</v>
      </c>
      <c r="BA15" s="78" t="s">
        <v>519</v>
      </c>
      <c r="BB15" s="78" t="s">
        <v>520</v>
      </c>
      <c r="BC15" s="78" t="s">
        <v>521</v>
      </c>
      <c r="BD15" s="78" t="s">
        <v>522</v>
      </c>
      <c r="BE15" s="78">
        <v>10001.1</v>
      </c>
      <c r="BF15" s="78">
        <v>9101.2000000000007</v>
      </c>
      <c r="BG15" s="78">
        <v>50101</v>
      </c>
      <c r="BH15" s="78">
        <v>60101</v>
      </c>
      <c r="BI15" s="78">
        <v>22210</v>
      </c>
      <c r="BJ15" s="78" t="s">
        <v>523</v>
      </c>
      <c r="BK15" s="78">
        <v>0</v>
      </c>
      <c r="BL15" s="78">
        <v>3</v>
      </c>
      <c r="BM15" s="78">
        <v>1</v>
      </c>
      <c r="BN15" s="78">
        <v>30</v>
      </c>
      <c r="BO15" s="78">
        <v>0</v>
      </c>
      <c r="BP15" s="78" t="s">
        <v>524</v>
      </c>
      <c r="BQ15" s="78" t="s">
        <v>525</v>
      </c>
      <c r="BR15" s="78">
        <v>1</v>
      </c>
      <c r="BS15" s="78">
        <v>10</v>
      </c>
      <c r="BT15" s="78">
        <v>9991</v>
      </c>
      <c r="BU15" s="78">
        <v>8881</v>
      </c>
      <c r="BV15" s="78">
        <v>7771</v>
      </c>
      <c r="BW15" s="78">
        <v>6661</v>
      </c>
      <c r="BX15" s="78">
        <v>1300</v>
      </c>
      <c r="BY15" s="78">
        <v>5.0999999999999996</v>
      </c>
      <c r="BZ15" s="78">
        <v>45043</v>
      </c>
      <c r="CA15" s="78" t="s">
        <v>526</v>
      </c>
      <c r="CB15" s="78" t="s">
        <v>527</v>
      </c>
      <c r="CC15" s="78" t="s">
        <v>528</v>
      </c>
      <c r="CD15" s="78" t="s">
        <v>529</v>
      </c>
      <c r="CE15" s="78">
        <v>11</v>
      </c>
      <c r="CF15" s="78">
        <v>101</v>
      </c>
      <c r="CG15" s="78">
        <v>1001</v>
      </c>
      <c r="CH15" s="78">
        <v>10001</v>
      </c>
      <c r="CI15" s="78">
        <v>31</v>
      </c>
      <c r="CJ15" s="78">
        <v>311</v>
      </c>
      <c r="CK15" s="78">
        <v>321</v>
      </c>
      <c r="CL15" s="78">
        <v>331</v>
      </c>
      <c r="CM15" s="78">
        <v>341</v>
      </c>
      <c r="CN15" s="78">
        <v>44927</v>
      </c>
      <c r="CO15" s="78">
        <v>44928</v>
      </c>
      <c r="CP15" s="78">
        <v>44929</v>
      </c>
      <c r="CQ15" s="78">
        <v>44930</v>
      </c>
      <c r="CR15" s="78">
        <v>10001</v>
      </c>
      <c r="CS15" s="78">
        <v>50</v>
      </c>
      <c r="CT15" s="78" t="s">
        <v>517</v>
      </c>
      <c r="CU15" s="78" t="s">
        <v>309</v>
      </c>
      <c r="CV15" s="78">
        <v>5</v>
      </c>
      <c r="CW15" s="78">
        <v>6</v>
      </c>
      <c r="CX15" s="78" t="s">
        <v>517</v>
      </c>
      <c r="CY15" s="78">
        <v>3</v>
      </c>
      <c r="CZ15" s="78">
        <v>500</v>
      </c>
      <c r="DA15" s="78" t="s">
        <v>530</v>
      </c>
      <c r="DB15" s="78">
        <v>200</v>
      </c>
      <c r="DC15" s="78">
        <v>45078</v>
      </c>
      <c r="DD15" s="78" t="s">
        <v>518</v>
      </c>
      <c r="DE15" s="78">
        <v>1</v>
      </c>
      <c r="DF15" s="78">
        <v>2</v>
      </c>
      <c r="DG15" s="78" t="s">
        <v>531</v>
      </c>
      <c r="DH15" s="78" t="s">
        <v>517</v>
      </c>
      <c r="DI15" s="78">
        <v>11</v>
      </c>
      <c r="DJ15" s="78" t="s">
        <v>517</v>
      </c>
      <c r="DK15" s="78">
        <v>1.1000000000000001</v>
      </c>
      <c r="DL15" s="78" t="s">
        <v>518</v>
      </c>
      <c r="DM15" s="78">
        <v>10</v>
      </c>
      <c r="DN15" s="78" t="s">
        <v>517</v>
      </c>
      <c r="DO15" s="78">
        <v>15</v>
      </c>
      <c r="DP15" s="78">
        <v>25</v>
      </c>
      <c r="DQ15" s="78">
        <v>1</v>
      </c>
      <c r="DR15" s="78">
        <v>3</v>
      </c>
      <c r="DS15" s="78">
        <v>44986</v>
      </c>
      <c r="DT15" s="78">
        <v>45047</v>
      </c>
      <c r="DU15" s="78">
        <v>2</v>
      </c>
      <c r="DV15" s="78">
        <v>4</v>
      </c>
      <c r="DW15" s="78" t="s">
        <v>532</v>
      </c>
      <c r="DX15" s="78">
        <v>5</v>
      </c>
      <c r="DY15" s="78" t="s">
        <v>517</v>
      </c>
      <c r="DZ15" s="78" t="s">
        <v>518</v>
      </c>
      <c r="EA15" s="78">
        <v>35</v>
      </c>
      <c r="EB15" s="78">
        <v>7</v>
      </c>
      <c r="EC15" s="78">
        <v>8</v>
      </c>
      <c r="ED15" s="78">
        <v>2023</v>
      </c>
      <c r="EE15" s="78">
        <v>600</v>
      </c>
      <c r="EF15" s="78">
        <v>700</v>
      </c>
      <c r="EG15" s="78">
        <v>800</v>
      </c>
      <c r="EH15" s="78" t="s">
        <v>339</v>
      </c>
      <c r="EI15" s="78" t="s">
        <v>533</v>
      </c>
      <c r="EJ15" s="78">
        <v>9</v>
      </c>
      <c r="EK15" s="78">
        <v>1</v>
      </c>
      <c r="EL15" s="78">
        <v>99</v>
      </c>
      <c r="EM15" s="78">
        <v>1</v>
      </c>
      <c r="EN15" s="78" t="s">
        <v>517</v>
      </c>
      <c r="EO15" s="78">
        <v>5</v>
      </c>
      <c r="EP15" s="78">
        <v>13</v>
      </c>
      <c r="EQ15" s="78">
        <v>70.2</v>
      </c>
      <c r="ER15" s="78">
        <v>1</v>
      </c>
      <c r="ES15" s="78">
        <v>1</v>
      </c>
      <c r="ET15" s="78" t="s">
        <v>534</v>
      </c>
      <c r="EU15" s="78">
        <v>44986</v>
      </c>
      <c r="EV15" s="78">
        <v>15</v>
      </c>
      <c r="EW15" s="78">
        <v>10</v>
      </c>
      <c r="EX15" s="78" t="s">
        <v>535</v>
      </c>
      <c r="EY15" s="78" t="s">
        <v>517</v>
      </c>
      <c r="EZ15" s="78" t="s">
        <v>536</v>
      </c>
      <c r="FA15" s="78">
        <v>1</v>
      </c>
      <c r="FB15" s="78">
        <v>44987</v>
      </c>
      <c r="FC15" s="78">
        <v>100</v>
      </c>
      <c r="FD15" s="78">
        <v>2.2000000000000002</v>
      </c>
      <c r="FE15" s="78" t="s">
        <v>517</v>
      </c>
      <c r="FF15" s="78">
        <v>1</v>
      </c>
      <c r="FG15" s="78">
        <v>44987</v>
      </c>
      <c r="FH15" s="78">
        <v>100</v>
      </c>
      <c r="FI15" s="78"/>
      <c r="FJ15" s="78"/>
      <c r="FK15" s="78">
        <v>1</v>
      </c>
      <c r="FL15" s="78">
        <v>44987</v>
      </c>
      <c r="FM15" s="78">
        <v>100</v>
      </c>
      <c r="FN15" s="78"/>
      <c r="FO15" s="78"/>
      <c r="FP15" s="78">
        <v>1</v>
      </c>
      <c r="FQ15" s="78">
        <v>44987</v>
      </c>
      <c r="FR15" s="78">
        <v>100</v>
      </c>
      <c r="FS15" s="78"/>
      <c r="FT15" s="78"/>
      <c r="FU15" s="78">
        <v>1</v>
      </c>
      <c r="FV15" s="78">
        <v>44987</v>
      </c>
      <c r="FW15" s="78">
        <v>100</v>
      </c>
      <c r="FX15" s="78"/>
      <c r="FY15" s="78"/>
      <c r="FZ15" s="78">
        <v>1</v>
      </c>
      <c r="GA15" s="78">
        <v>2</v>
      </c>
      <c r="GB15" s="78">
        <v>1</v>
      </c>
      <c r="GC15" s="78">
        <v>2</v>
      </c>
      <c r="GD15" s="78">
        <v>5.0999999999999996</v>
      </c>
      <c r="GE15" s="42"/>
      <c r="GF15" s="42"/>
      <c r="GG15" s="42"/>
    </row>
  </sheetData>
  <pageMargins left="0.7" right="0.7" top="0.78740157499999996" bottom="0.78740157499999996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rgb="FFFFC000"/>
  </sheetPr>
  <dimension ref="A1:J92"/>
  <sheetViews>
    <sheetView zoomScale="85" zoomScaleNormal="85" workbookViewId="0"/>
  </sheetViews>
  <sheetFormatPr baseColWidth="10" defaultColWidth="11.42578125" defaultRowHeight="15" x14ac:dyDescent="0.25"/>
  <cols>
    <col min="1" max="1" width="13" customWidth="1"/>
    <col min="2" max="2" width="24.28515625" customWidth="1"/>
    <col min="3" max="3" width="12" customWidth="1"/>
  </cols>
  <sheetData>
    <row r="1" spans="1:9" ht="24" thickBot="1" x14ac:dyDescent="0.4">
      <c r="A1" s="58" t="s">
        <v>86</v>
      </c>
      <c r="D1" s="62" t="s">
        <v>87</v>
      </c>
      <c r="E1" s="63" t="s">
        <v>653</v>
      </c>
      <c r="F1" s="62" t="s">
        <v>630</v>
      </c>
    </row>
    <row r="2" spans="1:9" ht="15.75" thickTop="1" x14ac:dyDescent="0.25"/>
    <row r="3" spans="1:9" ht="33.75" customHeight="1" x14ac:dyDescent="0.25">
      <c r="A3" s="258" t="s">
        <v>550</v>
      </c>
      <c r="B3" s="259"/>
    </row>
    <row r="4" spans="1:9" x14ac:dyDescent="0.25">
      <c r="A4" s="57" t="s">
        <v>538</v>
      </c>
      <c r="B4" s="48"/>
    </row>
    <row r="6" spans="1:9" ht="29.25" customHeight="1" x14ac:dyDescent="0.25">
      <c r="A6" s="258" t="s">
        <v>551</v>
      </c>
      <c r="B6" s="259"/>
    </row>
    <row r="7" spans="1:9" x14ac:dyDescent="0.25">
      <c r="A7" s="57" t="s">
        <v>539</v>
      </c>
      <c r="B7" s="48"/>
    </row>
    <row r="10" spans="1:9" ht="22.5" x14ac:dyDescent="0.3">
      <c r="A10" s="46"/>
    </row>
    <row r="11" spans="1:9" x14ac:dyDescent="0.25">
      <c r="I11" s="55" t="s">
        <v>89</v>
      </c>
    </row>
    <row r="12" spans="1:9" x14ac:dyDescent="0.25">
      <c r="I12" s="55" t="str">
        <f>CONCATENATE(Auftragsdaten!C25,"-",Auftragsdaten!G8,"-",Auftragsdaten!C10,"-",Auftragsdaten!G21,"-","ZUR WIEDERVERWERTUNG")</f>
        <v>----ZUR WIEDERVERWERTUNG</v>
      </c>
    </row>
    <row r="14" spans="1:9" x14ac:dyDescent="0.25">
      <c r="I14" s="56" t="s">
        <v>90</v>
      </c>
    </row>
    <row r="16" spans="1:9" ht="20.25" thickBot="1" x14ac:dyDescent="0.35">
      <c r="A16" s="47" t="s">
        <v>603</v>
      </c>
    </row>
    <row r="17" spans="1:10" ht="15.75" thickTop="1" x14ac:dyDescent="0.25"/>
    <row r="18" spans="1:10" ht="20.25" thickBot="1" x14ac:dyDescent="0.35">
      <c r="A18" s="174" t="s">
        <v>139</v>
      </c>
      <c r="E18" s="47" t="s">
        <v>661</v>
      </c>
    </row>
    <row r="19" spans="1:10" ht="16.5" thickTop="1" thickBot="1" x14ac:dyDescent="0.3">
      <c r="A19" s="175" t="s">
        <v>604</v>
      </c>
      <c r="B19" s="175" t="s">
        <v>605</v>
      </c>
      <c r="E19" s="269" t="s">
        <v>662</v>
      </c>
    </row>
    <row r="20" spans="1:10" x14ac:dyDescent="0.25">
      <c r="A20" s="42" t="s">
        <v>143</v>
      </c>
      <c r="B20" s="42" t="s">
        <v>144</v>
      </c>
      <c r="E20" s="270" t="s">
        <v>663</v>
      </c>
      <c r="F20" s="271"/>
      <c r="G20" s="271"/>
      <c r="H20" s="272"/>
      <c r="I20" s="273"/>
      <c r="J20" s="274"/>
    </row>
    <row r="21" spans="1:10" ht="39" x14ac:dyDescent="0.25">
      <c r="A21" s="42" t="s">
        <v>147</v>
      </c>
      <c r="B21" s="42" t="s">
        <v>148</v>
      </c>
      <c r="E21" s="275" t="s">
        <v>664</v>
      </c>
      <c r="F21" s="276" t="s">
        <v>665</v>
      </c>
      <c r="G21" s="277" t="s">
        <v>666</v>
      </c>
      <c r="H21" s="278" t="s">
        <v>667</v>
      </c>
      <c r="I21" s="278" t="s">
        <v>668</v>
      </c>
      <c r="J21" s="279"/>
    </row>
    <row r="22" spans="1:10" x14ac:dyDescent="0.25">
      <c r="A22" s="42" t="s">
        <v>151</v>
      </c>
      <c r="B22" s="42" t="s">
        <v>152</v>
      </c>
      <c r="E22" s="280">
        <v>1</v>
      </c>
      <c r="F22" s="281" t="s">
        <v>669</v>
      </c>
      <c r="G22" s="282" t="s">
        <v>670</v>
      </c>
      <c r="H22" s="283" t="s">
        <v>671</v>
      </c>
      <c r="I22" s="284" t="s">
        <v>672</v>
      </c>
      <c r="J22" s="285"/>
    </row>
    <row r="23" spans="1:10" ht="26.25" x14ac:dyDescent="0.25">
      <c r="A23" s="42" t="s">
        <v>155</v>
      </c>
      <c r="B23" s="42" t="s">
        <v>156</v>
      </c>
      <c r="E23" s="280">
        <v>2</v>
      </c>
      <c r="F23" s="281" t="s">
        <v>673</v>
      </c>
      <c r="G23" s="282" t="s">
        <v>674</v>
      </c>
      <c r="H23" s="286" t="s">
        <v>675</v>
      </c>
      <c r="I23" s="287" t="s">
        <v>676</v>
      </c>
      <c r="J23" s="288" t="s">
        <v>677</v>
      </c>
    </row>
    <row r="24" spans="1:10" ht="26.25" x14ac:dyDescent="0.25">
      <c r="A24" s="42" t="s">
        <v>159</v>
      </c>
      <c r="B24" s="42" t="s">
        <v>160</v>
      </c>
      <c r="E24" s="280">
        <v>3</v>
      </c>
      <c r="F24" s="281" t="s">
        <v>678</v>
      </c>
      <c r="G24" s="282" t="s">
        <v>679</v>
      </c>
      <c r="H24" s="286" t="s">
        <v>680</v>
      </c>
      <c r="I24" s="287" t="s">
        <v>681</v>
      </c>
      <c r="J24" s="285"/>
    </row>
    <row r="25" spans="1:10" x14ac:dyDescent="0.25">
      <c r="A25" s="42" t="s">
        <v>161</v>
      </c>
      <c r="B25" s="42" t="s">
        <v>162</v>
      </c>
      <c r="E25" s="280">
        <v>4</v>
      </c>
      <c r="F25" s="281" t="s">
        <v>682</v>
      </c>
      <c r="G25" s="282" t="s">
        <v>683</v>
      </c>
      <c r="H25" s="283" t="s">
        <v>684</v>
      </c>
      <c r="I25" s="284" t="s">
        <v>685</v>
      </c>
      <c r="J25" s="285"/>
    </row>
    <row r="26" spans="1:10" x14ac:dyDescent="0.25">
      <c r="A26" s="42" t="s">
        <v>163</v>
      </c>
      <c r="B26" s="42" t="s">
        <v>164</v>
      </c>
      <c r="E26" s="280">
        <v>5</v>
      </c>
      <c r="F26" s="281" t="s">
        <v>686</v>
      </c>
      <c r="G26" s="282" t="s">
        <v>687</v>
      </c>
      <c r="H26" s="283" t="s">
        <v>688</v>
      </c>
      <c r="I26" s="284" t="s">
        <v>689</v>
      </c>
      <c r="J26" s="285"/>
    </row>
    <row r="27" spans="1:10" x14ac:dyDescent="0.25">
      <c r="A27" s="42" t="s">
        <v>167</v>
      </c>
      <c r="B27" s="42" t="s">
        <v>168</v>
      </c>
      <c r="E27" s="280">
        <v>6</v>
      </c>
      <c r="F27" s="281" t="s">
        <v>690</v>
      </c>
      <c r="G27" s="282" t="s">
        <v>691</v>
      </c>
      <c r="H27" s="283" t="s">
        <v>692</v>
      </c>
      <c r="I27" s="284"/>
      <c r="J27" s="285"/>
    </row>
    <row r="28" spans="1:10" x14ac:dyDescent="0.25">
      <c r="A28" s="42" t="s">
        <v>169</v>
      </c>
      <c r="B28" s="42" t="s">
        <v>170</v>
      </c>
      <c r="E28" s="280">
        <v>7</v>
      </c>
      <c r="F28" s="281" t="s">
        <v>693</v>
      </c>
      <c r="G28" s="282" t="s">
        <v>694</v>
      </c>
      <c r="H28" s="283" t="s">
        <v>695</v>
      </c>
      <c r="I28" s="284"/>
      <c r="J28" s="285"/>
    </row>
    <row r="29" spans="1:10" ht="15.75" thickBot="1" x14ac:dyDescent="0.3">
      <c r="A29" s="42" t="s">
        <v>171</v>
      </c>
      <c r="B29" s="42" t="s">
        <v>172</v>
      </c>
      <c r="E29" s="289">
        <v>8</v>
      </c>
      <c r="F29" s="290" t="s">
        <v>696</v>
      </c>
      <c r="G29" s="291" t="s">
        <v>697</v>
      </c>
      <c r="H29" s="292" t="s">
        <v>698</v>
      </c>
      <c r="I29" s="284"/>
      <c r="J29" s="293"/>
    </row>
    <row r="30" spans="1:10" ht="15.75" thickBot="1" x14ac:dyDescent="0.3">
      <c r="A30" s="42" t="s">
        <v>173</v>
      </c>
      <c r="B30" s="42" t="s">
        <v>174</v>
      </c>
      <c r="E30" s="294"/>
      <c r="F30" s="294"/>
      <c r="G30" s="294"/>
      <c r="H30" s="295"/>
      <c r="I30" s="296"/>
      <c r="J30" s="294"/>
    </row>
    <row r="31" spans="1:10" x14ac:dyDescent="0.25">
      <c r="A31" s="42" t="s">
        <v>177</v>
      </c>
      <c r="B31" s="42" t="s">
        <v>178</v>
      </c>
      <c r="E31" s="270" t="s">
        <v>699</v>
      </c>
      <c r="F31" s="271"/>
      <c r="G31" s="271"/>
      <c r="H31" s="272"/>
      <c r="I31" s="297"/>
      <c r="J31" s="298"/>
    </row>
    <row r="32" spans="1:10" ht="90" x14ac:dyDescent="0.25">
      <c r="A32" s="42" t="s">
        <v>180</v>
      </c>
      <c r="B32" s="42" t="s">
        <v>181</v>
      </c>
      <c r="E32" s="275" t="s">
        <v>700</v>
      </c>
      <c r="F32" s="299" t="s">
        <v>701</v>
      </c>
      <c r="G32" s="300" t="s">
        <v>702</v>
      </c>
      <c r="H32" s="278" t="s">
        <v>703</v>
      </c>
      <c r="I32" s="301" t="s">
        <v>704</v>
      </c>
      <c r="J32" s="298"/>
    </row>
    <row r="33" spans="1:10" x14ac:dyDescent="0.25">
      <c r="A33" s="42" t="s">
        <v>185</v>
      </c>
      <c r="B33" s="42" t="s">
        <v>186</v>
      </c>
      <c r="E33" s="280">
        <v>0</v>
      </c>
      <c r="F33" s="302" t="s">
        <v>705</v>
      </c>
      <c r="G33" s="282" t="s">
        <v>706</v>
      </c>
      <c r="H33" s="283" t="s">
        <v>707</v>
      </c>
      <c r="I33" s="303" t="s">
        <v>708</v>
      </c>
      <c r="J33" s="298"/>
    </row>
    <row r="34" spans="1:10" x14ac:dyDescent="0.25">
      <c r="A34" s="42" t="s">
        <v>189</v>
      </c>
      <c r="B34" s="42" t="s">
        <v>190</v>
      </c>
      <c r="E34" s="280">
        <v>1</v>
      </c>
      <c r="F34" s="302" t="s">
        <v>709</v>
      </c>
      <c r="G34" s="282" t="s">
        <v>710</v>
      </c>
      <c r="H34" s="283" t="s">
        <v>711</v>
      </c>
      <c r="I34" s="303">
        <v>3</v>
      </c>
      <c r="J34" s="298"/>
    </row>
    <row r="35" spans="1:10" x14ac:dyDescent="0.25">
      <c r="A35" s="42" t="s">
        <v>194</v>
      </c>
      <c r="B35" s="42" t="s">
        <v>195</v>
      </c>
      <c r="E35" s="280">
        <v>5</v>
      </c>
      <c r="F35" s="302" t="s">
        <v>712</v>
      </c>
      <c r="G35" s="282" t="s">
        <v>713</v>
      </c>
      <c r="H35" s="283" t="s">
        <v>714</v>
      </c>
      <c r="I35" s="303">
        <v>4</v>
      </c>
      <c r="J35" s="298"/>
    </row>
    <row r="36" spans="1:10" x14ac:dyDescent="0.25">
      <c r="A36" s="42" t="s">
        <v>197</v>
      </c>
      <c r="B36" s="42" t="s">
        <v>198</v>
      </c>
      <c r="E36" s="280">
        <v>2</v>
      </c>
      <c r="F36" s="302" t="s">
        <v>715</v>
      </c>
      <c r="G36" s="282" t="s">
        <v>716</v>
      </c>
      <c r="H36" s="283" t="s">
        <v>717</v>
      </c>
      <c r="I36" s="303">
        <v>5</v>
      </c>
      <c r="J36" s="298"/>
    </row>
    <row r="37" spans="1:10" ht="15.75" thickBot="1" x14ac:dyDescent="0.3">
      <c r="A37" s="42" t="s">
        <v>199</v>
      </c>
      <c r="B37" s="42" t="s">
        <v>200</v>
      </c>
      <c r="E37" s="280">
        <v>3</v>
      </c>
      <c r="F37" s="304" t="s">
        <v>718</v>
      </c>
      <c r="G37" s="291" t="s">
        <v>719</v>
      </c>
      <c r="H37" s="292" t="s">
        <v>720</v>
      </c>
      <c r="I37" s="303" t="s">
        <v>721</v>
      </c>
      <c r="J37" s="298"/>
    </row>
    <row r="38" spans="1:10" x14ac:dyDescent="0.25">
      <c r="A38" s="42" t="s">
        <v>202</v>
      </c>
      <c r="B38" s="42" t="s">
        <v>203</v>
      </c>
    </row>
    <row r="39" spans="1:10" x14ac:dyDescent="0.25">
      <c r="A39" s="42" t="s">
        <v>204</v>
      </c>
      <c r="B39" s="42" t="s">
        <v>205</v>
      </c>
    </row>
    <row r="40" spans="1:10" x14ac:dyDescent="0.25">
      <c r="A40" s="42" t="s">
        <v>208</v>
      </c>
      <c r="B40" s="42" t="s">
        <v>209</v>
      </c>
    </row>
    <row r="41" spans="1:10" x14ac:dyDescent="0.25">
      <c r="A41" s="42" t="s">
        <v>212</v>
      </c>
      <c r="B41" s="42" t="s">
        <v>213</v>
      </c>
    </row>
    <row r="42" spans="1:10" x14ac:dyDescent="0.25">
      <c r="A42" s="42" t="s">
        <v>216</v>
      </c>
      <c r="B42" s="42" t="s">
        <v>213</v>
      </c>
    </row>
    <row r="43" spans="1:10" x14ac:dyDescent="0.25">
      <c r="A43" s="42" t="s">
        <v>217</v>
      </c>
      <c r="B43" s="42" t="s">
        <v>218</v>
      </c>
    </row>
    <row r="44" spans="1:10" x14ac:dyDescent="0.25">
      <c r="A44" s="42" t="s">
        <v>219</v>
      </c>
      <c r="B44" s="42" t="s">
        <v>220</v>
      </c>
    </row>
    <row r="45" spans="1:10" x14ac:dyDescent="0.25">
      <c r="A45" s="42" t="s">
        <v>221</v>
      </c>
      <c r="B45" s="42" t="s">
        <v>222</v>
      </c>
    </row>
    <row r="46" spans="1:10" x14ac:dyDescent="0.25">
      <c r="A46" s="42" t="s">
        <v>223</v>
      </c>
      <c r="B46" s="42" t="s">
        <v>224</v>
      </c>
    </row>
    <row r="47" spans="1:10" x14ac:dyDescent="0.25">
      <c r="A47" s="42" t="s">
        <v>225</v>
      </c>
      <c r="B47" s="42" t="s">
        <v>226</v>
      </c>
    </row>
    <row r="48" spans="1:10" x14ac:dyDescent="0.25">
      <c r="A48" s="42" t="s">
        <v>227</v>
      </c>
      <c r="B48" s="42" t="s">
        <v>228</v>
      </c>
    </row>
    <row r="49" spans="1:2" x14ac:dyDescent="0.25">
      <c r="A49" s="42" t="s">
        <v>229</v>
      </c>
      <c r="B49" s="42" t="s">
        <v>230</v>
      </c>
    </row>
    <row r="50" spans="1:2" x14ac:dyDescent="0.25">
      <c r="A50" s="42" t="s">
        <v>231</v>
      </c>
      <c r="B50" s="42" t="s">
        <v>232</v>
      </c>
    </row>
    <row r="51" spans="1:2" x14ac:dyDescent="0.25">
      <c r="A51" s="42" t="s">
        <v>233</v>
      </c>
      <c r="B51" s="42" t="s">
        <v>234</v>
      </c>
    </row>
    <row r="52" spans="1:2" x14ac:dyDescent="0.25">
      <c r="A52" s="42" t="s">
        <v>236</v>
      </c>
      <c r="B52" s="42" t="s">
        <v>237</v>
      </c>
    </row>
    <row r="53" spans="1:2" x14ac:dyDescent="0.25">
      <c r="A53" s="42" t="s">
        <v>238</v>
      </c>
      <c r="B53" s="42" t="s">
        <v>239</v>
      </c>
    </row>
    <row r="54" spans="1:2" x14ac:dyDescent="0.25">
      <c r="A54" s="42" t="s">
        <v>240</v>
      </c>
      <c r="B54" s="42" t="s">
        <v>241</v>
      </c>
    </row>
    <row r="55" spans="1:2" x14ac:dyDescent="0.25">
      <c r="A55" s="42" t="s">
        <v>242</v>
      </c>
      <c r="B55" s="42" t="s">
        <v>243</v>
      </c>
    </row>
    <row r="56" spans="1:2" x14ac:dyDescent="0.25">
      <c r="A56" s="42" t="s">
        <v>244</v>
      </c>
      <c r="B56" s="42" t="s">
        <v>245</v>
      </c>
    </row>
    <row r="57" spans="1:2" x14ac:dyDescent="0.25">
      <c r="A57" s="42" t="s">
        <v>246</v>
      </c>
      <c r="B57" s="42" t="s">
        <v>247</v>
      </c>
    </row>
    <row r="58" spans="1:2" x14ac:dyDescent="0.25">
      <c r="A58" s="42" t="s">
        <v>248</v>
      </c>
      <c r="B58" s="42" t="s">
        <v>249</v>
      </c>
    </row>
    <row r="59" spans="1:2" x14ac:dyDescent="0.25">
      <c r="A59" s="42" t="s">
        <v>250</v>
      </c>
      <c r="B59" s="42" t="s">
        <v>251</v>
      </c>
    </row>
    <row r="60" spans="1:2" x14ac:dyDescent="0.25">
      <c r="A60" s="42" t="s">
        <v>252</v>
      </c>
      <c r="B60" s="42" t="s">
        <v>253</v>
      </c>
    </row>
    <row r="61" spans="1:2" x14ac:dyDescent="0.25">
      <c r="A61" s="42" t="s">
        <v>254</v>
      </c>
      <c r="B61" s="42" t="s">
        <v>255</v>
      </c>
    </row>
    <row r="62" spans="1:2" x14ac:dyDescent="0.25">
      <c r="A62" s="42" t="s">
        <v>256</v>
      </c>
      <c r="B62" s="42" t="s">
        <v>257</v>
      </c>
    </row>
    <row r="63" spans="1:2" x14ac:dyDescent="0.25">
      <c r="A63" s="42" t="s">
        <v>258</v>
      </c>
      <c r="B63" s="42" t="s">
        <v>259</v>
      </c>
    </row>
    <row r="64" spans="1:2" x14ac:dyDescent="0.25">
      <c r="A64" s="42" t="s">
        <v>260</v>
      </c>
      <c r="B64" s="42" t="s">
        <v>261</v>
      </c>
    </row>
    <row r="65" spans="1:2" x14ac:dyDescent="0.25">
      <c r="A65" s="42" t="s">
        <v>262</v>
      </c>
      <c r="B65" s="42" t="s">
        <v>263</v>
      </c>
    </row>
    <row r="66" spans="1:2" x14ac:dyDescent="0.25">
      <c r="A66" s="42" t="s">
        <v>264</v>
      </c>
      <c r="B66" s="42" t="s">
        <v>265</v>
      </c>
    </row>
    <row r="67" spans="1:2" x14ac:dyDescent="0.25">
      <c r="A67" s="42" t="s">
        <v>266</v>
      </c>
      <c r="B67" s="42" t="s">
        <v>267</v>
      </c>
    </row>
    <row r="68" spans="1:2" x14ac:dyDescent="0.25">
      <c r="A68" s="42" t="s">
        <v>268</v>
      </c>
      <c r="B68" s="42" t="s">
        <v>269</v>
      </c>
    </row>
    <row r="69" spans="1:2" x14ac:dyDescent="0.25">
      <c r="A69" s="42" t="s">
        <v>270</v>
      </c>
      <c r="B69" s="42" t="s">
        <v>271</v>
      </c>
    </row>
    <row r="70" spans="1:2" x14ac:dyDescent="0.25">
      <c r="A70" s="42" t="s">
        <v>272</v>
      </c>
      <c r="B70" s="42" t="s">
        <v>273</v>
      </c>
    </row>
    <row r="71" spans="1:2" x14ac:dyDescent="0.25">
      <c r="A71" s="42" t="s">
        <v>274</v>
      </c>
      <c r="B71" s="42" t="s">
        <v>275</v>
      </c>
    </row>
    <row r="72" spans="1:2" x14ac:dyDescent="0.25">
      <c r="A72" s="42" t="s">
        <v>276</v>
      </c>
      <c r="B72" s="42" t="s">
        <v>277</v>
      </c>
    </row>
    <row r="73" spans="1:2" x14ac:dyDescent="0.25">
      <c r="A73" s="42" t="s">
        <v>278</v>
      </c>
      <c r="B73" s="42" t="s">
        <v>279</v>
      </c>
    </row>
    <row r="74" spans="1:2" x14ac:dyDescent="0.25">
      <c r="A74" s="42" t="s">
        <v>280</v>
      </c>
      <c r="B74" s="42" t="s">
        <v>281</v>
      </c>
    </row>
    <row r="75" spans="1:2" x14ac:dyDescent="0.25">
      <c r="A75" s="42" t="s">
        <v>282</v>
      </c>
      <c r="B75" s="42" t="s">
        <v>283</v>
      </c>
    </row>
    <row r="76" spans="1:2" x14ac:dyDescent="0.25">
      <c r="A76" s="42" t="s">
        <v>284</v>
      </c>
      <c r="B76" s="42" t="s">
        <v>285</v>
      </c>
    </row>
    <row r="77" spans="1:2" x14ac:dyDescent="0.25">
      <c r="A77" s="42" t="s">
        <v>286</v>
      </c>
      <c r="B77" s="42" t="s">
        <v>287</v>
      </c>
    </row>
    <row r="78" spans="1:2" x14ac:dyDescent="0.25">
      <c r="A78" s="42" t="s">
        <v>288</v>
      </c>
      <c r="B78" s="42" t="s">
        <v>289</v>
      </c>
    </row>
    <row r="79" spans="1:2" x14ac:dyDescent="0.25">
      <c r="A79" s="42" t="s">
        <v>290</v>
      </c>
      <c r="B79" s="42" t="s">
        <v>291</v>
      </c>
    </row>
    <row r="80" spans="1:2" x14ac:dyDescent="0.25">
      <c r="A80" s="42" t="s">
        <v>292</v>
      </c>
      <c r="B80" s="42" t="s">
        <v>291</v>
      </c>
    </row>
    <row r="81" spans="1:2" x14ac:dyDescent="0.25">
      <c r="A81" s="42" t="s">
        <v>293</v>
      </c>
      <c r="B81" s="42" t="s">
        <v>294</v>
      </c>
    </row>
    <row r="82" spans="1:2" x14ac:dyDescent="0.25">
      <c r="A82" s="42" t="s">
        <v>295</v>
      </c>
      <c r="B82" s="42" t="s">
        <v>296</v>
      </c>
    </row>
    <row r="83" spans="1:2" x14ac:dyDescent="0.25">
      <c r="A83" s="42" t="s">
        <v>297</v>
      </c>
      <c r="B83" s="42" t="s">
        <v>298</v>
      </c>
    </row>
    <row r="84" spans="1:2" x14ac:dyDescent="0.25">
      <c r="A84" s="42" t="s">
        <v>299</v>
      </c>
      <c r="B84" s="42" t="s">
        <v>300</v>
      </c>
    </row>
    <row r="85" spans="1:2" x14ac:dyDescent="0.25">
      <c r="A85" s="42" t="s">
        <v>301</v>
      </c>
      <c r="B85" s="42" t="s">
        <v>302</v>
      </c>
    </row>
    <row r="86" spans="1:2" x14ac:dyDescent="0.25">
      <c r="A86" s="42" t="s">
        <v>303</v>
      </c>
      <c r="B86" s="42" t="s">
        <v>304</v>
      </c>
    </row>
    <row r="87" spans="1:2" x14ac:dyDescent="0.25">
      <c r="A87" s="42" t="s">
        <v>305</v>
      </c>
      <c r="B87" s="42" t="s">
        <v>306</v>
      </c>
    </row>
    <row r="88" spans="1:2" x14ac:dyDescent="0.25">
      <c r="A88" s="42" t="s">
        <v>307</v>
      </c>
      <c r="B88" s="42" t="s">
        <v>308</v>
      </c>
    </row>
    <row r="89" spans="1:2" x14ac:dyDescent="0.25">
      <c r="A89" s="42" t="s">
        <v>309</v>
      </c>
      <c r="B89" s="42" t="s">
        <v>310</v>
      </c>
    </row>
    <row r="90" spans="1:2" x14ac:dyDescent="0.25">
      <c r="A90" s="42" t="s">
        <v>311</v>
      </c>
      <c r="B90" s="42" t="s">
        <v>312</v>
      </c>
    </row>
    <row r="91" spans="1:2" x14ac:dyDescent="0.25">
      <c r="A91" s="42" t="s">
        <v>313</v>
      </c>
      <c r="B91" s="42" t="s">
        <v>314</v>
      </c>
    </row>
    <row r="92" spans="1:2" x14ac:dyDescent="0.25">
      <c r="A92" s="42" t="s">
        <v>315</v>
      </c>
      <c r="B92" s="42" t="s">
        <v>316</v>
      </c>
    </row>
  </sheetData>
  <mergeCells count="2">
    <mergeCell ref="A3:B3"/>
    <mergeCell ref="A6:B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N_Gesamt_N1bis3.N_Gesamt_N1bis3">
                <anchor moveWithCells="1" sizeWithCells="1">
                  <from>
                    <xdr:col>3</xdr:col>
                    <xdr:colOff>9525</xdr:colOff>
                    <xdr:row>1</xdr:row>
                    <xdr:rowOff>85725</xdr:rowOff>
                  </from>
                  <to>
                    <xdr:col>7</xdr:col>
                    <xdr:colOff>409575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xlsm_wiederverwerten.xlsm_wiederverwerten">
                <anchor moveWithCells="1" sizeWithCells="1">
                  <from>
                    <xdr:col>8</xdr:col>
                    <xdr:colOff>57150</xdr:colOff>
                    <xdr:row>1</xdr:row>
                    <xdr:rowOff>95250</xdr:rowOff>
                  </from>
                  <to>
                    <xdr:col>12</xdr:col>
                    <xdr:colOff>428625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92D050"/>
  </sheetPr>
  <dimension ref="A1"/>
  <sheetViews>
    <sheetView workbookViewId="0">
      <selection activeCell="D39" sqref="D39"/>
    </sheetView>
  </sheetViews>
  <sheetFormatPr baseColWidth="10" defaultColWidth="11.42578125" defaultRowHeight="15" x14ac:dyDescent="0.2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100"/>
  <sheetViews>
    <sheetView workbookViewId="0"/>
  </sheetViews>
  <sheetFormatPr baseColWidth="10" defaultColWidth="11.42578125" defaultRowHeight="15" x14ac:dyDescent="0.25"/>
  <cols>
    <col min="1" max="1" width="16.85546875" bestFit="1" customWidth="1"/>
  </cols>
  <sheetData>
    <row r="1" spans="1:3" ht="20.25" x14ac:dyDescent="0.3">
      <c r="A1" s="204" t="s">
        <v>624</v>
      </c>
    </row>
    <row r="3" spans="1:3" ht="20.25" thickBot="1" x14ac:dyDescent="0.35">
      <c r="A3" s="47" t="s">
        <v>92</v>
      </c>
    </row>
    <row r="4" spans="1:3" ht="21" thickTop="1" x14ac:dyDescent="0.3">
      <c r="A4" s="59"/>
    </row>
    <row r="6" spans="1:3" ht="20.25" thickBot="1" x14ac:dyDescent="0.35">
      <c r="A6" s="47" t="s">
        <v>93</v>
      </c>
    </row>
    <row r="7" spans="1:3" ht="21" thickTop="1" x14ac:dyDescent="0.3">
      <c r="A7" s="59"/>
    </row>
    <row r="9" spans="1:3" ht="20.25" thickBot="1" x14ac:dyDescent="0.35">
      <c r="A9" s="47" t="s">
        <v>20</v>
      </c>
    </row>
    <row r="10" spans="1:3" ht="21" customHeight="1" thickTop="1" x14ac:dyDescent="0.25">
      <c r="A10" s="205"/>
    </row>
    <row r="12" spans="1:3" ht="20.25" thickBot="1" x14ac:dyDescent="0.35">
      <c r="A12" s="47" t="s">
        <v>94</v>
      </c>
    </row>
    <row r="13" spans="1:3" ht="21" thickTop="1" x14ac:dyDescent="0.3">
      <c r="A13" s="60"/>
    </row>
    <row r="15" spans="1:3" ht="20.25" thickBot="1" x14ac:dyDescent="0.35">
      <c r="A15" s="47" t="s">
        <v>17</v>
      </c>
    </row>
    <row r="16" spans="1:3" ht="30.75" thickTop="1" x14ac:dyDescent="0.4">
      <c r="A16" s="61"/>
      <c r="B16" s="57"/>
      <c r="C16" s="57"/>
    </row>
    <row r="18" spans="1:3" ht="20.25" thickBot="1" x14ac:dyDescent="0.35">
      <c r="A18" s="47" t="s">
        <v>601</v>
      </c>
    </row>
    <row r="19" spans="1:3" s="156" customFormat="1" ht="30.75" thickTop="1" x14ac:dyDescent="0.4">
      <c r="A19" s="61"/>
      <c r="B19" s="57"/>
      <c r="C19" s="57"/>
    </row>
    <row r="20" spans="1:3" s="20" customFormat="1" x14ac:dyDescent="0.25"/>
    <row r="21" spans="1:3" s="20" customFormat="1" x14ac:dyDescent="0.25"/>
    <row r="22" spans="1:3" s="20" customFormat="1" x14ac:dyDescent="0.25"/>
    <row r="23" spans="1:3" s="20" customFormat="1" x14ac:dyDescent="0.25"/>
    <row r="24" spans="1:3" s="20" customFormat="1" x14ac:dyDescent="0.25"/>
    <row r="25" spans="1:3" s="20" customFormat="1" x14ac:dyDescent="0.25"/>
    <row r="26" spans="1:3" s="20" customFormat="1" x14ac:dyDescent="0.25"/>
    <row r="27" spans="1:3" s="20" customFormat="1" x14ac:dyDescent="0.25"/>
    <row r="28" spans="1:3" s="20" customFormat="1" x14ac:dyDescent="0.25"/>
    <row r="29" spans="1:3" s="20" customFormat="1" x14ac:dyDescent="0.25"/>
    <row r="30" spans="1:3" s="20" customFormat="1" x14ac:dyDescent="0.25"/>
    <row r="31" spans="1:3" s="20" customFormat="1" x14ac:dyDescent="0.25"/>
    <row r="32" spans="1:3" s="20" customFormat="1" x14ac:dyDescent="0.25"/>
    <row r="33" s="20" customFormat="1" x14ac:dyDescent="0.25"/>
    <row r="34" s="20" customFormat="1" x14ac:dyDescent="0.25"/>
    <row r="35" s="20" customFormat="1" x14ac:dyDescent="0.25"/>
    <row r="36" s="20" customFormat="1" x14ac:dyDescent="0.25"/>
    <row r="37" s="20" customFormat="1" x14ac:dyDescent="0.25"/>
    <row r="38" s="20" customFormat="1" x14ac:dyDescent="0.25"/>
    <row r="39" s="20" customFormat="1" x14ac:dyDescent="0.25"/>
    <row r="40" s="20" customFormat="1" x14ac:dyDescent="0.25"/>
    <row r="41" s="20" customFormat="1" x14ac:dyDescent="0.25"/>
    <row r="42" s="20" customFormat="1" x14ac:dyDescent="0.25"/>
    <row r="43" s="20" customFormat="1" x14ac:dyDescent="0.25"/>
    <row r="44" s="20" customFormat="1" x14ac:dyDescent="0.25"/>
    <row r="45" s="20" customFormat="1" x14ac:dyDescent="0.25"/>
    <row r="46" s="20" customFormat="1" x14ac:dyDescent="0.25"/>
    <row r="47" s="20" customFormat="1" x14ac:dyDescent="0.25"/>
    <row r="48" s="20" customFormat="1" x14ac:dyDescent="0.25"/>
    <row r="49" s="20" customFormat="1" x14ac:dyDescent="0.25"/>
    <row r="50" s="20" customFormat="1" x14ac:dyDescent="0.25"/>
    <row r="51" s="20" customFormat="1" x14ac:dyDescent="0.25"/>
    <row r="52" s="20" customFormat="1" x14ac:dyDescent="0.25"/>
    <row r="53" s="20" customFormat="1" x14ac:dyDescent="0.25"/>
    <row r="54" s="20" customFormat="1" x14ac:dyDescent="0.25"/>
    <row r="55" s="20" customFormat="1" x14ac:dyDescent="0.25"/>
    <row r="56" s="20" customFormat="1" x14ac:dyDescent="0.25"/>
    <row r="57" s="20" customFormat="1" x14ac:dyDescent="0.25"/>
    <row r="58" s="20" customFormat="1" x14ac:dyDescent="0.25"/>
    <row r="59" s="20" customFormat="1" x14ac:dyDescent="0.25"/>
    <row r="60" s="20" customFormat="1" x14ac:dyDescent="0.25"/>
    <row r="61" s="20" customFormat="1" x14ac:dyDescent="0.25"/>
    <row r="62" s="20" customFormat="1" x14ac:dyDescent="0.25"/>
    <row r="63" s="20" customFormat="1" x14ac:dyDescent="0.25"/>
    <row r="64" s="20" customFormat="1" x14ac:dyDescent="0.25"/>
    <row r="65" s="20" customFormat="1" x14ac:dyDescent="0.25"/>
    <row r="66" s="20" customFormat="1" x14ac:dyDescent="0.25"/>
    <row r="67" s="20" customFormat="1" x14ac:dyDescent="0.25"/>
    <row r="68" s="20" customFormat="1" x14ac:dyDescent="0.25"/>
    <row r="69" s="20" customFormat="1" x14ac:dyDescent="0.25"/>
    <row r="70" s="20" customFormat="1" x14ac:dyDescent="0.25"/>
    <row r="71" s="20" customFormat="1" x14ac:dyDescent="0.25"/>
    <row r="72" s="20" customFormat="1" x14ac:dyDescent="0.25"/>
    <row r="73" s="20" customFormat="1" x14ac:dyDescent="0.25"/>
    <row r="74" s="20" customFormat="1" x14ac:dyDescent="0.25"/>
    <row r="75" s="20" customFormat="1" x14ac:dyDescent="0.25"/>
    <row r="76" s="20" customFormat="1" x14ac:dyDescent="0.25"/>
    <row r="77" s="20" customFormat="1" x14ac:dyDescent="0.25"/>
    <row r="78" s="20" customFormat="1" x14ac:dyDescent="0.25"/>
    <row r="79" s="20" customFormat="1" x14ac:dyDescent="0.25"/>
    <row r="80" s="20" customFormat="1" x14ac:dyDescent="0.25"/>
    <row r="81" s="20" customFormat="1" x14ac:dyDescent="0.25"/>
    <row r="82" s="20" customFormat="1" x14ac:dyDescent="0.25"/>
    <row r="83" s="20" customFormat="1" x14ac:dyDescent="0.25"/>
    <row r="84" s="20" customFormat="1" x14ac:dyDescent="0.25"/>
    <row r="85" s="20" customFormat="1" x14ac:dyDescent="0.25"/>
    <row r="86" s="20" customFormat="1" x14ac:dyDescent="0.25"/>
    <row r="87" s="20" customFormat="1" x14ac:dyDescent="0.25"/>
    <row r="88" s="20" customFormat="1" x14ac:dyDescent="0.25"/>
    <row r="89" s="20" customFormat="1" x14ac:dyDescent="0.25"/>
    <row r="90" s="20" customFormat="1" x14ac:dyDescent="0.25"/>
    <row r="91" s="20" customFormat="1" x14ac:dyDescent="0.25"/>
    <row r="92" s="20" customFormat="1" x14ac:dyDescent="0.25"/>
    <row r="93" s="20" customFormat="1" x14ac:dyDescent="0.25"/>
    <row r="94" s="20" customFormat="1" x14ac:dyDescent="0.25"/>
    <row r="95" s="20" customFormat="1" x14ac:dyDescent="0.25"/>
    <row r="96" s="20" customFormat="1" x14ac:dyDescent="0.25"/>
    <row r="97" s="20" customFormat="1" x14ac:dyDescent="0.25"/>
    <row r="98" s="20" customFormat="1" x14ac:dyDescent="0.25"/>
    <row r="99" s="20" customFormat="1" x14ac:dyDescent="0.25"/>
    <row r="100" s="20" customFormat="1" x14ac:dyDescent="0.25"/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92D050"/>
  </sheetPr>
  <dimension ref="A2:O206"/>
  <sheetViews>
    <sheetView tabSelected="1" zoomScale="85" zoomScaleNormal="85" workbookViewId="0"/>
  </sheetViews>
  <sheetFormatPr baseColWidth="10" defaultColWidth="11.42578125" defaultRowHeight="15" x14ac:dyDescent="0.25"/>
  <sheetData>
    <row r="2" spans="1:9" x14ac:dyDescent="0.25">
      <c r="H2" s="65">
        <f ca="1">TODAY()</f>
        <v>45680</v>
      </c>
      <c r="I2" t="str">
        <f>CONCATENATE(C12,"-",C6,"-",E4,"-",D9,"-")</f>
        <v>----</v>
      </c>
    </row>
    <row r="3" spans="1:9" ht="33" x14ac:dyDescent="0.25">
      <c r="B3" s="66" t="s">
        <v>650</v>
      </c>
    </row>
    <row r="4" spans="1:9" x14ac:dyDescent="0.25">
      <c r="B4" s="67"/>
    </row>
    <row r="5" spans="1:9" x14ac:dyDescent="0.25">
      <c r="B5" s="67" t="s">
        <v>725</v>
      </c>
    </row>
    <row r="6" spans="1:9" x14ac:dyDescent="0.25">
      <c r="B6" s="240" t="s">
        <v>659</v>
      </c>
    </row>
    <row r="7" spans="1:9" x14ac:dyDescent="0.25">
      <c r="B7" s="67"/>
    </row>
    <row r="8" spans="1:9" ht="20.25" thickBot="1" x14ac:dyDescent="0.3">
      <c r="A8" s="68" t="s">
        <v>95</v>
      </c>
    </row>
    <row r="9" spans="1:9" ht="15.75" thickTop="1" x14ac:dyDescent="0.25">
      <c r="B9" s="67" t="s">
        <v>596</v>
      </c>
    </row>
    <row r="10" spans="1:9" x14ac:dyDescent="0.25">
      <c r="B10" s="67"/>
    </row>
    <row r="11" spans="1:9" x14ac:dyDescent="0.25">
      <c r="B11" s="67" t="s">
        <v>96</v>
      </c>
    </row>
    <row r="12" spans="1:9" x14ac:dyDescent="0.25">
      <c r="B12" s="67"/>
    </row>
    <row r="13" spans="1:9" ht="20.25" thickBot="1" x14ac:dyDescent="0.3">
      <c r="A13" s="68" t="s">
        <v>97</v>
      </c>
    </row>
    <row r="14" spans="1:9" ht="15.75" thickTop="1" x14ac:dyDescent="0.25">
      <c r="B14" s="67" t="s">
        <v>98</v>
      </c>
    </row>
    <row r="15" spans="1:9" x14ac:dyDescent="0.25">
      <c r="B15" s="69" t="s">
        <v>99</v>
      </c>
    </row>
    <row r="16" spans="1:9" x14ac:dyDescent="0.25">
      <c r="B16" s="69" t="s">
        <v>100</v>
      </c>
    </row>
    <row r="17" spans="2:2" x14ac:dyDescent="0.25">
      <c r="B17" s="69" t="s">
        <v>101</v>
      </c>
    </row>
    <row r="18" spans="2:2" x14ac:dyDescent="0.25">
      <c r="B18" s="67"/>
    </row>
    <row r="19" spans="2:2" x14ac:dyDescent="0.25">
      <c r="B19" s="67" t="s">
        <v>102</v>
      </c>
    </row>
    <row r="20" spans="2:2" x14ac:dyDescent="0.25">
      <c r="B20" s="67" t="s">
        <v>103</v>
      </c>
    </row>
    <row r="38" spans="1:2" ht="20.25" thickBot="1" x14ac:dyDescent="0.3">
      <c r="A38" s="68" t="s">
        <v>104</v>
      </c>
    </row>
    <row r="39" spans="1:2" ht="18.75" thickTop="1" thickBot="1" x14ac:dyDescent="0.35">
      <c r="B39" s="99" t="s">
        <v>546</v>
      </c>
    </row>
    <row r="40" spans="1:2" ht="15.75" thickTop="1" x14ac:dyDescent="0.25">
      <c r="B40" s="70" t="s">
        <v>105</v>
      </c>
    </row>
    <row r="41" spans="1:2" x14ac:dyDescent="0.25">
      <c r="B41" s="70" t="s">
        <v>106</v>
      </c>
    </row>
    <row r="42" spans="1:2" x14ac:dyDescent="0.25">
      <c r="B42" s="70" t="s">
        <v>107</v>
      </c>
    </row>
    <row r="43" spans="1:2" x14ac:dyDescent="0.25">
      <c r="B43" s="70" t="s">
        <v>108</v>
      </c>
    </row>
    <row r="44" spans="1:2" x14ac:dyDescent="0.25">
      <c r="B44" s="70" t="s">
        <v>109</v>
      </c>
    </row>
    <row r="75" spans="2:11" x14ac:dyDescent="0.25">
      <c r="B75" s="101" t="s">
        <v>547</v>
      </c>
    </row>
    <row r="76" spans="2:11" ht="61.5" customHeight="1" x14ac:dyDescent="0.25">
      <c r="B76" s="261" t="s">
        <v>548</v>
      </c>
      <c r="C76" s="261"/>
      <c r="D76" s="261"/>
      <c r="E76" s="261"/>
      <c r="F76" s="261"/>
      <c r="G76" s="261"/>
      <c r="H76" s="261"/>
      <c r="I76" s="261"/>
      <c r="J76" s="261"/>
      <c r="K76" s="261"/>
    </row>
    <row r="77" spans="2:11" ht="18.75" customHeight="1" x14ac:dyDescent="0.25">
      <c r="B77" s="262" t="s">
        <v>627</v>
      </c>
      <c r="C77" s="262"/>
      <c r="D77" s="262"/>
      <c r="E77" s="262"/>
      <c r="F77" s="262"/>
      <c r="G77" s="262"/>
      <c r="H77" s="262"/>
      <c r="I77" s="262"/>
      <c r="J77" s="262"/>
      <c r="K77" s="262"/>
    </row>
    <row r="78" spans="2:11" ht="30" customHeight="1" x14ac:dyDescent="0.25">
      <c r="B78" s="261" t="s">
        <v>602</v>
      </c>
      <c r="C78" s="261"/>
      <c r="D78" s="261"/>
      <c r="E78" s="261"/>
      <c r="F78" s="261"/>
      <c r="G78" s="261"/>
      <c r="H78" s="261"/>
      <c r="I78" s="261"/>
      <c r="J78" s="261"/>
      <c r="K78" s="261"/>
    </row>
    <row r="80" spans="2:11" ht="18" thickBot="1" x14ac:dyDescent="0.35">
      <c r="B80" s="99" t="s">
        <v>631</v>
      </c>
    </row>
    <row r="81" spans="2:2" ht="15.75" thickTop="1" x14ac:dyDescent="0.25">
      <c r="B81" s="100" t="s">
        <v>110</v>
      </c>
    </row>
    <row r="103" spans="2:11" x14ac:dyDescent="0.25">
      <c r="B103" s="101" t="s">
        <v>547</v>
      </c>
    </row>
    <row r="104" spans="2:11" ht="16.5" customHeight="1" x14ac:dyDescent="0.25">
      <c r="B104" s="261" t="s">
        <v>549</v>
      </c>
      <c r="C104" s="261"/>
      <c r="D104" s="261"/>
      <c r="E104" s="261"/>
      <c r="F104" s="261"/>
      <c r="G104" s="261"/>
      <c r="H104" s="261"/>
      <c r="I104" s="261"/>
      <c r="J104" s="261"/>
      <c r="K104" s="261"/>
    </row>
    <row r="105" spans="2:11" ht="63.75" customHeight="1" x14ac:dyDescent="0.25">
      <c r="B105" s="261" t="s">
        <v>647</v>
      </c>
      <c r="C105" s="261"/>
      <c r="D105" s="261"/>
      <c r="E105" s="261"/>
      <c r="F105" s="261"/>
      <c r="G105" s="261"/>
      <c r="H105" s="261"/>
      <c r="I105" s="261"/>
      <c r="J105" s="261"/>
      <c r="K105" s="261"/>
    </row>
    <row r="106" spans="2:11" ht="18" customHeight="1" x14ac:dyDescent="0.25">
      <c r="B106" s="261" t="s">
        <v>628</v>
      </c>
      <c r="C106" s="261"/>
      <c r="D106" s="261"/>
      <c r="E106" s="261"/>
      <c r="F106" s="261"/>
      <c r="G106" s="261"/>
      <c r="H106" s="261"/>
      <c r="I106" s="261"/>
      <c r="J106" s="261"/>
      <c r="K106" s="261"/>
    </row>
    <row r="107" spans="2:11" ht="17.25" customHeight="1" x14ac:dyDescent="0.25">
      <c r="B107" s="261" t="s">
        <v>606</v>
      </c>
      <c r="C107" s="261"/>
      <c r="D107" s="261"/>
      <c r="E107" s="261"/>
      <c r="F107" s="261"/>
      <c r="G107" s="261"/>
      <c r="H107" s="261"/>
      <c r="I107" s="261"/>
      <c r="J107" s="261"/>
      <c r="K107" s="261"/>
    </row>
    <row r="108" spans="2:11" ht="35.25" customHeight="1" x14ac:dyDescent="0.25">
      <c r="B108" s="261" t="s">
        <v>629</v>
      </c>
      <c r="C108" s="261"/>
      <c r="D108" s="261"/>
      <c r="E108" s="261"/>
      <c r="F108" s="261"/>
      <c r="G108" s="261"/>
      <c r="H108" s="261"/>
      <c r="I108" s="261"/>
      <c r="J108" s="261"/>
      <c r="K108" s="261"/>
    </row>
    <row r="110" spans="2:11" ht="18" thickBot="1" x14ac:dyDescent="0.35">
      <c r="B110" s="99" t="s">
        <v>632</v>
      </c>
    </row>
    <row r="111" spans="2:11" ht="15.75" thickTop="1" x14ac:dyDescent="0.25"/>
    <row r="131" spans="2:15" x14ac:dyDescent="0.25">
      <c r="B131" s="71" t="s">
        <v>111</v>
      </c>
    </row>
    <row r="132" spans="2:15" ht="30" customHeight="1" x14ac:dyDescent="0.25">
      <c r="B132" s="263" t="s">
        <v>633</v>
      </c>
      <c r="C132" s="264"/>
      <c r="D132" s="264"/>
      <c r="E132" s="264"/>
      <c r="F132" s="264"/>
      <c r="G132" s="264"/>
      <c r="H132" s="264"/>
      <c r="I132" s="264"/>
      <c r="J132" s="264"/>
      <c r="K132" s="264"/>
      <c r="L132" s="264"/>
    </row>
    <row r="133" spans="2:15" x14ac:dyDescent="0.25">
      <c r="B133" s="264" t="s">
        <v>634</v>
      </c>
      <c r="C133" s="264"/>
      <c r="D133" s="264"/>
      <c r="E133" s="264"/>
      <c r="F133" s="264"/>
      <c r="G133" s="264"/>
      <c r="H133" s="264"/>
      <c r="I133" s="264"/>
      <c r="J133" s="264"/>
      <c r="K133" s="264"/>
      <c r="L133" s="264"/>
    </row>
    <row r="134" spans="2:15" ht="47.25" customHeight="1" x14ac:dyDescent="0.25">
      <c r="B134" s="263" t="s">
        <v>636</v>
      </c>
      <c r="C134" s="264"/>
      <c r="D134" s="264"/>
      <c r="E134" s="264"/>
      <c r="F134" s="264"/>
      <c r="G134" s="264"/>
      <c r="H134" s="264"/>
      <c r="I134" s="264"/>
      <c r="J134" s="264"/>
      <c r="K134" s="264"/>
      <c r="L134" s="264"/>
    </row>
    <row r="135" spans="2:15" ht="29.25" customHeight="1" x14ac:dyDescent="0.25">
      <c r="B135" s="265" t="s">
        <v>635</v>
      </c>
      <c r="C135" s="266"/>
      <c r="D135" s="266"/>
      <c r="E135" s="266"/>
      <c r="F135" s="266"/>
      <c r="G135" s="266"/>
      <c r="H135" s="266"/>
      <c r="I135" s="266"/>
      <c r="J135" s="266"/>
      <c r="K135" s="266"/>
      <c r="L135" s="267"/>
    </row>
    <row r="136" spans="2:15" ht="31.5" customHeight="1" x14ac:dyDescent="0.25">
      <c r="B136" s="265" t="s">
        <v>552</v>
      </c>
      <c r="C136" s="266"/>
      <c r="D136" s="266"/>
      <c r="E136" s="266"/>
      <c r="F136" s="266"/>
      <c r="G136" s="266"/>
      <c r="H136" s="266"/>
      <c r="I136" s="266"/>
      <c r="J136" s="266"/>
      <c r="K136" s="266"/>
      <c r="L136" s="267"/>
    </row>
    <row r="137" spans="2:15" ht="46.5" customHeight="1" x14ac:dyDescent="0.25">
      <c r="B137" s="268" t="s">
        <v>637</v>
      </c>
      <c r="C137" s="268"/>
      <c r="D137" s="268"/>
      <c r="E137" s="268"/>
      <c r="F137" s="268"/>
      <c r="G137" s="268"/>
      <c r="H137" s="268"/>
      <c r="I137" s="268"/>
      <c r="J137" s="268"/>
      <c r="K137" s="268"/>
      <c r="L137" s="268"/>
      <c r="M137" s="176"/>
      <c r="N137" s="176"/>
      <c r="O137" s="102"/>
    </row>
    <row r="165" spans="1:15" ht="20.25" thickBot="1" x14ac:dyDescent="0.3">
      <c r="A165" s="68" t="s">
        <v>112</v>
      </c>
    </row>
    <row r="166" spans="1:15" ht="33" customHeight="1" thickTop="1" x14ac:dyDescent="0.25">
      <c r="B166" s="260" t="s">
        <v>113</v>
      </c>
      <c r="C166" s="260"/>
      <c r="D166" s="260"/>
      <c r="E166" s="260"/>
      <c r="F166" s="260"/>
      <c r="G166" s="260"/>
      <c r="H166" s="260"/>
      <c r="I166" s="260"/>
      <c r="J166" s="260"/>
      <c r="K166" s="260"/>
      <c r="L166" s="260"/>
      <c r="M166" s="260"/>
      <c r="N166" s="260"/>
      <c r="O166" s="260"/>
    </row>
    <row r="167" spans="1:15" x14ac:dyDescent="0.25">
      <c r="B167" s="67"/>
    </row>
    <row r="168" spans="1:15" x14ac:dyDescent="0.25">
      <c r="B168" s="70" t="s">
        <v>537</v>
      </c>
    </row>
    <row r="185" spans="2:7" x14ac:dyDescent="0.25">
      <c r="B185" s="72" t="s">
        <v>114</v>
      </c>
      <c r="C185" s="73"/>
      <c r="D185" s="73"/>
      <c r="E185" s="73"/>
      <c r="F185" s="73"/>
      <c r="G185" s="48"/>
    </row>
    <row r="187" spans="2:7" x14ac:dyDescent="0.25">
      <c r="B187" s="70" t="s">
        <v>115</v>
      </c>
    </row>
    <row r="197" spans="1:2" x14ac:dyDescent="0.25">
      <c r="B197" s="70" t="s">
        <v>116</v>
      </c>
    </row>
    <row r="199" spans="1:2" x14ac:dyDescent="0.25">
      <c r="B199" s="70" t="s">
        <v>117</v>
      </c>
    </row>
    <row r="200" spans="1:2" x14ac:dyDescent="0.25">
      <c r="B200" s="70" t="s">
        <v>118</v>
      </c>
    </row>
    <row r="204" spans="1:2" ht="20.25" thickBot="1" x14ac:dyDescent="0.35">
      <c r="A204" s="47" t="s">
        <v>119</v>
      </c>
    </row>
    <row r="205" spans="1:2" ht="15.75" thickTop="1" x14ac:dyDescent="0.25"/>
    <row r="206" spans="1:2" x14ac:dyDescent="0.25">
      <c r="A206" t="s">
        <v>120</v>
      </c>
    </row>
  </sheetData>
  <mergeCells count="15">
    <mergeCell ref="B166:O166"/>
    <mergeCell ref="B78:K78"/>
    <mergeCell ref="B76:K76"/>
    <mergeCell ref="B108:K108"/>
    <mergeCell ref="B104:K104"/>
    <mergeCell ref="B77:K77"/>
    <mergeCell ref="B105:K105"/>
    <mergeCell ref="B106:K106"/>
    <mergeCell ref="B132:L132"/>
    <mergeCell ref="B133:L133"/>
    <mergeCell ref="B134:L134"/>
    <mergeCell ref="B135:L135"/>
    <mergeCell ref="B136:L136"/>
    <mergeCell ref="B137:L137"/>
    <mergeCell ref="B107:K107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1"/>
  </sheetPr>
  <dimension ref="A1:S77"/>
  <sheetViews>
    <sheetView topLeftCell="A20" zoomScale="70" zoomScaleNormal="70" workbookViewId="0">
      <selection activeCell="A46" sqref="A46"/>
    </sheetView>
  </sheetViews>
  <sheetFormatPr baseColWidth="10" defaultColWidth="11.42578125" defaultRowHeight="23.25" x14ac:dyDescent="0.35"/>
  <cols>
    <col min="1" max="1" width="20.42578125" style="97" customWidth="1"/>
    <col min="2" max="2" width="18.5703125" style="97" customWidth="1"/>
    <col min="3" max="4" width="11.42578125" style="97"/>
    <col min="5" max="5" width="22.28515625" style="97" customWidth="1"/>
    <col min="6" max="6" width="20.42578125" style="97" customWidth="1"/>
    <col min="7" max="9" width="11.42578125" style="97"/>
    <col min="10" max="10" width="19.140625" style="97" customWidth="1"/>
    <col min="11" max="11" width="20.42578125" style="97" customWidth="1"/>
    <col min="12" max="16384" width="11.42578125" style="97"/>
  </cols>
  <sheetData>
    <row r="1" spans="1:19" x14ac:dyDescent="0.35">
      <c r="A1" s="62" t="s">
        <v>121</v>
      </c>
      <c r="E1" s="62" t="s">
        <v>122</v>
      </c>
      <c r="J1" s="159" t="s">
        <v>123</v>
      </c>
    </row>
    <row r="3" spans="1:19" x14ac:dyDescent="0.35">
      <c r="A3" s="97" t="s">
        <v>124</v>
      </c>
      <c r="B3" s="97" t="s">
        <v>125</v>
      </c>
      <c r="E3" s="97" t="s">
        <v>126</v>
      </c>
      <c r="F3" s="97" t="s">
        <v>127</v>
      </c>
      <c r="H3" s="97" t="s">
        <v>128</v>
      </c>
      <c r="I3" s="97" t="s">
        <v>129</v>
      </c>
      <c r="J3" s="158" t="s">
        <v>130</v>
      </c>
      <c r="K3" s="97" t="s">
        <v>131</v>
      </c>
      <c r="L3" s="97" t="s">
        <v>132</v>
      </c>
      <c r="M3" s="97" t="s">
        <v>133</v>
      </c>
      <c r="N3" s="97" t="s">
        <v>134</v>
      </c>
      <c r="O3" s="97" t="s">
        <v>135</v>
      </c>
      <c r="P3" s="97" t="s">
        <v>136</v>
      </c>
    </row>
    <row r="4" spans="1:19" x14ac:dyDescent="0.35">
      <c r="A4" s="98" t="s">
        <v>137</v>
      </c>
      <c r="B4" s="97" t="s">
        <v>138</v>
      </c>
      <c r="E4" s="98" t="s">
        <v>46</v>
      </c>
      <c r="F4" s="97" t="s">
        <v>46</v>
      </c>
      <c r="I4" s="97" t="str">
        <f>LEFT(t_Fruchtarten_Nährstoffe[[#This Row],[FRUARTTEXT]],1)</f>
        <v>1</v>
      </c>
      <c r="J4" s="158">
        <v>0</v>
      </c>
      <c r="K4" s="97">
        <v>1</v>
      </c>
      <c r="L4" s="97">
        <v>1.2</v>
      </c>
      <c r="M4" s="97">
        <v>1.4</v>
      </c>
      <c r="N4" s="97">
        <v>40</v>
      </c>
      <c r="O4" s="97">
        <v>1.5</v>
      </c>
      <c r="P4" s="97">
        <v>4</v>
      </c>
      <c r="S4" s="97" t="s">
        <v>139</v>
      </c>
    </row>
    <row r="5" spans="1:19" x14ac:dyDescent="0.35">
      <c r="A5" s="98" t="s">
        <v>140</v>
      </c>
      <c r="B5" s="97" t="s">
        <v>141</v>
      </c>
      <c r="E5" s="98" t="s">
        <v>142</v>
      </c>
      <c r="F5" s="97" t="s">
        <v>142</v>
      </c>
      <c r="H5" s="97">
        <v>1</v>
      </c>
      <c r="I5" s="97" t="str">
        <f>LEFT(t_Fruchtarten_Nährstoffe[[#This Row],[FRUARTTEXT]],1)</f>
        <v>A</v>
      </c>
      <c r="J5" s="158" t="s">
        <v>143</v>
      </c>
      <c r="K5" s="97" t="s">
        <v>144</v>
      </c>
      <c r="L5" s="97">
        <v>0.16</v>
      </c>
      <c r="M5" s="97">
        <v>0.65</v>
      </c>
      <c r="N5" s="97">
        <v>500</v>
      </c>
      <c r="O5" s="97">
        <v>0.14000000000000001</v>
      </c>
      <c r="P5" s="97">
        <v>0.65</v>
      </c>
      <c r="R5" s="97" t="str">
        <f>t_Fruchtarten_Nährstoffe[[#This Row],[FRUARTTEXT]]</f>
        <v>Ackergras</v>
      </c>
    </row>
    <row r="6" spans="1:19" x14ac:dyDescent="0.35">
      <c r="A6" s="98" t="s">
        <v>145</v>
      </c>
      <c r="B6" s="97" t="s">
        <v>146</v>
      </c>
      <c r="I6" s="97" t="str">
        <f>LEFT(t_Fruchtarten_Nährstoffe[[#This Row],[FRUARTTEXT]],1)</f>
        <v>A</v>
      </c>
      <c r="J6" s="158" t="s">
        <v>147</v>
      </c>
      <c r="K6" s="97" t="s">
        <v>148</v>
      </c>
      <c r="L6" s="97">
        <v>0.7</v>
      </c>
      <c r="M6" s="97">
        <v>3.25</v>
      </c>
      <c r="N6" s="97">
        <v>105</v>
      </c>
      <c r="O6" s="97">
        <v>0.7</v>
      </c>
      <c r="P6" s="97">
        <v>3.25</v>
      </c>
      <c r="R6" s="97" t="str">
        <f>t_Fruchtarten_Nährstoffe[[#This Row],[FRUARTTEXT]]</f>
        <v>Ackergras (TM)</v>
      </c>
    </row>
    <row r="7" spans="1:19" x14ac:dyDescent="0.35">
      <c r="A7" s="98" t="s">
        <v>149</v>
      </c>
      <c r="B7" s="97" t="s">
        <v>150</v>
      </c>
      <c r="I7" s="97" t="str">
        <f>LEFT(t_Fruchtarten_Nährstoffe[[#This Row],[FRUARTTEXT]],1)</f>
        <v>B</v>
      </c>
      <c r="J7" s="158" t="s">
        <v>151</v>
      </c>
      <c r="K7" s="97" t="s">
        <v>152</v>
      </c>
      <c r="L7" s="97">
        <v>0.1</v>
      </c>
      <c r="M7" s="97">
        <v>0.36</v>
      </c>
      <c r="N7" s="97">
        <v>350</v>
      </c>
      <c r="O7" s="97">
        <v>0.37</v>
      </c>
      <c r="P7" s="97">
        <v>1.21</v>
      </c>
      <c r="R7" s="97" t="str">
        <f>t_Fruchtarten_Nährstoffe[[#This Row],[FRUARTTEXT]]</f>
        <v>Blumenkohl</v>
      </c>
    </row>
    <row r="8" spans="1:19" x14ac:dyDescent="0.35">
      <c r="A8" s="98" t="s">
        <v>153</v>
      </c>
      <c r="B8" s="97" t="s">
        <v>154</v>
      </c>
      <c r="I8" s="97" t="str">
        <f>LEFT(t_Fruchtarten_Nährstoffe[[#This Row],[FRUARTTEXT]],1)</f>
        <v>D</v>
      </c>
      <c r="J8" s="158" t="s">
        <v>155</v>
      </c>
      <c r="K8" s="97" t="s">
        <v>156</v>
      </c>
      <c r="L8" s="97">
        <v>0.8</v>
      </c>
      <c r="M8" s="97">
        <v>0.8</v>
      </c>
      <c r="N8" s="97">
        <v>55</v>
      </c>
      <c r="O8" s="97">
        <v>1.1000000000000001</v>
      </c>
      <c r="P8" s="97">
        <v>2.5</v>
      </c>
      <c r="R8" s="97" t="str">
        <f>t_Fruchtarten_Nährstoffe[[#This Row],[FRUARTTEXT]]</f>
        <v>Dinkel</v>
      </c>
    </row>
    <row r="9" spans="1:19" x14ac:dyDescent="0.35">
      <c r="A9" s="98" t="s">
        <v>157</v>
      </c>
      <c r="B9" s="97" t="s">
        <v>158</v>
      </c>
      <c r="I9" s="97" t="str">
        <f>LEFT(t_Fruchtarten_Nährstoffe[[#This Row],[FRUARTTEXT]],1)</f>
        <v>D</v>
      </c>
      <c r="J9" s="158" t="s">
        <v>159</v>
      </c>
      <c r="K9" s="97" t="s">
        <v>160</v>
      </c>
      <c r="L9" s="97">
        <v>0.8</v>
      </c>
      <c r="M9" s="97">
        <v>0.6</v>
      </c>
      <c r="N9" s="97">
        <v>50</v>
      </c>
      <c r="O9" s="97">
        <v>1.1000000000000001</v>
      </c>
      <c r="P9" s="97">
        <v>2</v>
      </c>
      <c r="R9" s="97" t="str">
        <f>t_Fruchtarten_Nährstoffe[[#This Row],[FRUARTTEXT]]</f>
        <v>Durum</v>
      </c>
    </row>
    <row r="10" spans="1:19" x14ac:dyDescent="0.35">
      <c r="I10" s="97" t="str">
        <f>LEFT(t_Fruchtarten_Nährstoffe[[#This Row],[FRUARTTEXT]],1)</f>
        <v>E</v>
      </c>
      <c r="J10" s="158" t="s">
        <v>161</v>
      </c>
      <c r="K10" s="97" t="s">
        <v>162</v>
      </c>
      <c r="L10" s="97">
        <v>1.1000000000000001</v>
      </c>
      <c r="M10" s="97">
        <v>1.4</v>
      </c>
      <c r="N10" s="97">
        <v>35</v>
      </c>
      <c r="O10" s="97">
        <v>1.4</v>
      </c>
      <c r="P10" s="97">
        <v>4</v>
      </c>
      <c r="R10" s="97" t="str">
        <f>t_Fruchtarten_Nährstoffe[[#This Row],[FRUARTTEXT]]</f>
        <v>Erbsen (Körner)</v>
      </c>
    </row>
    <row r="11" spans="1:19" x14ac:dyDescent="0.35">
      <c r="I11" s="97" t="str">
        <f>LEFT(t_Fruchtarten_Nährstoffe[[#This Row],[FRUARTTEXT]],1)</f>
        <v>E</v>
      </c>
      <c r="J11" s="158" t="s">
        <v>163</v>
      </c>
      <c r="K11" s="97" t="s">
        <v>164</v>
      </c>
      <c r="L11" s="97">
        <v>0.05</v>
      </c>
      <c r="M11" s="97">
        <v>0.28000000000000003</v>
      </c>
      <c r="N11" s="97">
        <v>200</v>
      </c>
      <c r="O11" s="97">
        <v>0.05</v>
      </c>
      <c r="P11" s="97">
        <v>0.28000000000000003</v>
      </c>
      <c r="R11" s="97" t="str">
        <f>t_Fruchtarten_Nährstoffe[[#This Row],[FRUARTTEXT]]</f>
        <v>Erdbeeren</v>
      </c>
    </row>
    <row r="12" spans="1:19" x14ac:dyDescent="0.35">
      <c r="E12" s="97" t="s">
        <v>165</v>
      </c>
      <c r="F12" s="97" t="s">
        <v>166</v>
      </c>
      <c r="I12" s="97" t="str">
        <f>LEFT(t_Fruchtarten_Nährstoffe[[#This Row],[FRUARTTEXT]],1)</f>
        <v>F</v>
      </c>
      <c r="J12" s="158" t="s">
        <v>167</v>
      </c>
      <c r="K12" s="97" t="s">
        <v>168</v>
      </c>
      <c r="L12" s="97">
        <v>0.1</v>
      </c>
      <c r="M12" s="97">
        <v>0.65</v>
      </c>
      <c r="N12" s="97">
        <v>80</v>
      </c>
      <c r="O12" s="97">
        <v>0.15</v>
      </c>
      <c r="P12" s="97">
        <v>0.78</v>
      </c>
      <c r="R12" s="97" t="str">
        <f>t_Fruchtarten_Nährstoffe[[#This Row],[FRUARTTEXT]]</f>
        <v>Feldsalat</v>
      </c>
    </row>
    <row r="13" spans="1:19" x14ac:dyDescent="0.35">
      <c r="F13" s="97" t="s">
        <v>46</v>
      </c>
      <c r="I13" s="97" t="str">
        <f>LEFT(t_Fruchtarten_Nährstoffe[[#This Row],[FRUARTTEXT]],1)</f>
        <v>F</v>
      </c>
      <c r="J13" s="158" t="s">
        <v>169</v>
      </c>
      <c r="K13" s="97" t="s">
        <v>170</v>
      </c>
      <c r="L13" s="97">
        <v>0.09</v>
      </c>
      <c r="M13" s="97">
        <v>0.5</v>
      </c>
      <c r="N13" s="97">
        <v>700</v>
      </c>
      <c r="O13" s="97">
        <v>0.12</v>
      </c>
      <c r="P13" s="97">
        <v>0.75</v>
      </c>
      <c r="R13" s="97" t="str">
        <f>t_Fruchtarten_Nährstoffe[[#This Row],[FRUARTTEXT]]</f>
        <v>Futterrübe - Gehalt</v>
      </c>
    </row>
    <row r="14" spans="1:19" x14ac:dyDescent="0.35">
      <c r="I14" s="97" t="str">
        <f>LEFT(t_Fruchtarten_Nährstoffe[[#This Row],[FRUARTTEXT]],1)</f>
        <v>F</v>
      </c>
      <c r="J14" s="158" t="s">
        <v>171</v>
      </c>
      <c r="K14" s="97" t="s">
        <v>172</v>
      </c>
      <c r="L14" s="97">
        <v>7.0000000000000007E-2</v>
      </c>
      <c r="M14" s="97">
        <v>0.45</v>
      </c>
      <c r="N14" s="97">
        <v>900</v>
      </c>
      <c r="O14" s="97">
        <v>0.09</v>
      </c>
      <c r="P14" s="97">
        <v>0.6</v>
      </c>
      <c r="R14" s="97" t="str">
        <f>t_Fruchtarten_Nährstoffe[[#This Row],[FRUARTTEXT]]</f>
        <v>Futterrübe - Masse</v>
      </c>
    </row>
    <row r="15" spans="1:19" x14ac:dyDescent="0.35">
      <c r="I15" s="97" t="str">
        <f>LEFT(t_Fruchtarten_Nährstoffe[[#This Row],[FRUARTTEXT]],1)</f>
        <v>F</v>
      </c>
      <c r="J15" s="158" t="s">
        <v>173</v>
      </c>
      <c r="K15" s="97" t="s">
        <v>174</v>
      </c>
      <c r="L15" s="97">
        <v>0.6</v>
      </c>
      <c r="M15" s="97">
        <v>3.33</v>
      </c>
      <c r="N15" s="97">
        <v>120</v>
      </c>
      <c r="O15" s="97">
        <v>0.8</v>
      </c>
      <c r="P15" s="97">
        <v>5</v>
      </c>
      <c r="R15" s="97" t="str">
        <f>t_Fruchtarten_Nährstoffe[[#This Row],[FRUARTTEXT]]</f>
        <v>Futterrübe (TM)</v>
      </c>
    </row>
    <row r="16" spans="1:19" x14ac:dyDescent="0.35">
      <c r="A16" s="97" t="s">
        <v>92</v>
      </c>
      <c r="E16" s="97" t="s">
        <v>175</v>
      </c>
      <c r="F16" s="97" t="s">
        <v>176</v>
      </c>
      <c r="H16" s="97">
        <v>1</v>
      </c>
      <c r="I16" s="97" t="str">
        <f>LEFT(t_Fruchtarten_Nährstoffe[[#This Row],[FRUARTTEXT]],1)</f>
        <v>G</v>
      </c>
      <c r="J16" s="158" t="s">
        <v>177</v>
      </c>
      <c r="K16" s="97" t="s">
        <v>178</v>
      </c>
      <c r="L16" s="97">
        <v>0.5</v>
      </c>
      <c r="M16" s="97">
        <v>1.93</v>
      </c>
      <c r="N16" s="97">
        <v>40</v>
      </c>
      <c r="O16" s="97">
        <v>0.5</v>
      </c>
      <c r="P16" s="97">
        <v>1.93</v>
      </c>
      <c r="R16" s="97" t="str">
        <f>t_Fruchtarten_Nährstoffe[[#This Row],[FRUARTTEXT]]</f>
        <v>Grünland 1 Nutzung</v>
      </c>
    </row>
    <row r="17" spans="1:18" x14ac:dyDescent="0.35">
      <c r="F17" s="97" t="s">
        <v>179</v>
      </c>
      <c r="H17" s="97">
        <v>1</v>
      </c>
      <c r="I17" s="97" t="str">
        <f>LEFT(t_Fruchtarten_Nährstoffe[[#This Row],[FRUARTTEXT]],1)</f>
        <v>G</v>
      </c>
      <c r="J17" s="158" t="s">
        <v>180</v>
      </c>
      <c r="K17" s="97" t="s">
        <v>181</v>
      </c>
      <c r="L17" s="97">
        <v>0.65</v>
      </c>
      <c r="M17" s="97">
        <v>2.41</v>
      </c>
      <c r="N17" s="97">
        <v>55</v>
      </c>
      <c r="O17" s="97">
        <v>0.65</v>
      </c>
      <c r="P17" s="97">
        <v>2.41</v>
      </c>
      <c r="R17" s="97" t="str">
        <f>t_Fruchtarten_Nährstoffe[[#This Row],[FRUARTTEXT]]</f>
        <v>Grünland 2 Nutzungen</v>
      </c>
    </row>
    <row r="18" spans="1:18" x14ac:dyDescent="0.35">
      <c r="A18" s="97" t="s">
        <v>182</v>
      </c>
      <c r="B18" s="97" t="s">
        <v>183</v>
      </c>
      <c r="C18" s="97" t="s">
        <v>184</v>
      </c>
      <c r="H18" s="97">
        <v>1</v>
      </c>
      <c r="I18" s="97" t="str">
        <f>LEFT(t_Fruchtarten_Nährstoffe[[#This Row],[FRUARTTEXT]],1)</f>
        <v>G</v>
      </c>
      <c r="J18" s="158" t="s">
        <v>185</v>
      </c>
      <c r="K18" s="97" t="s">
        <v>186</v>
      </c>
      <c r="L18" s="97">
        <v>0.71</v>
      </c>
      <c r="M18" s="97">
        <v>2.89</v>
      </c>
      <c r="N18" s="97">
        <v>75</v>
      </c>
      <c r="O18" s="97">
        <v>0.71</v>
      </c>
      <c r="P18" s="97">
        <v>2.89</v>
      </c>
      <c r="R18" s="97" t="str">
        <f>t_Fruchtarten_Nährstoffe[[#This Row],[FRUARTTEXT]]</f>
        <v>Grünland 3 Nutzungen</v>
      </c>
    </row>
    <row r="19" spans="1:18" x14ac:dyDescent="0.35">
      <c r="A19" s="97" t="s">
        <v>187</v>
      </c>
      <c r="B19" s="97" t="s">
        <v>188</v>
      </c>
      <c r="C19" s="97">
        <v>7</v>
      </c>
      <c r="H19" s="97">
        <v>1</v>
      </c>
      <c r="I19" s="97" t="str">
        <f>LEFT(t_Fruchtarten_Nährstoffe[[#This Row],[FRUARTTEXT]],1)</f>
        <v>G</v>
      </c>
      <c r="J19" s="158" t="s">
        <v>189</v>
      </c>
      <c r="K19" s="97" t="s">
        <v>190</v>
      </c>
      <c r="L19" s="97">
        <v>0.81</v>
      </c>
      <c r="M19" s="97">
        <v>3.13</v>
      </c>
      <c r="N19" s="97">
        <v>90</v>
      </c>
      <c r="O19" s="97">
        <v>0.81</v>
      </c>
      <c r="P19" s="97">
        <v>3.13</v>
      </c>
      <c r="R19" s="97" t="str">
        <f>t_Fruchtarten_Nährstoffe[[#This Row],[FRUARTTEXT]]</f>
        <v>Grünland 4 Nutzungen</v>
      </c>
    </row>
    <row r="20" spans="1:18" x14ac:dyDescent="0.35">
      <c r="A20" s="97" t="s">
        <v>191</v>
      </c>
      <c r="B20" s="97" t="s">
        <v>192</v>
      </c>
      <c r="C20" s="97">
        <v>26</v>
      </c>
      <c r="E20" s="97" t="s">
        <v>193</v>
      </c>
      <c r="F20" s="97" t="s">
        <v>176</v>
      </c>
      <c r="H20" s="97">
        <v>1</v>
      </c>
      <c r="I20" s="97" t="str">
        <f>LEFT(t_Fruchtarten_Nährstoffe[[#This Row],[FRUARTTEXT]],1)</f>
        <v>G</v>
      </c>
      <c r="J20" s="158" t="s">
        <v>194</v>
      </c>
      <c r="K20" s="97" t="s">
        <v>195</v>
      </c>
      <c r="L20" s="97">
        <v>0.87</v>
      </c>
      <c r="M20" s="97">
        <v>3.25</v>
      </c>
      <c r="N20" s="97">
        <v>110</v>
      </c>
      <c r="O20" s="97">
        <v>0.87</v>
      </c>
      <c r="P20" s="97">
        <v>3.25</v>
      </c>
      <c r="R20" s="97" t="str">
        <f>t_Fruchtarten_Nährstoffe[[#This Row],[FRUARTTEXT]]</f>
        <v>Grünland 5 Nutzungen</v>
      </c>
    </row>
    <row r="21" spans="1:18" x14ac:dyDescent="0.35">
      <c r="B21" s="97" t="s">
        <v>196</v>
      </c>
      <c r="F21" s="97" t="s">
        <v>46</v>
      </c>
      <c r="H21" s="97">
        <v>1</v>
      </c>
      <c r="I21" s="97" t="str">
        <f>LEFT(t_Fruchtarten_Nährstoffe[[#This Row],[FRUARTTEXT]],1)</f>
        <v>H</v>
      </c>
      <c r="J21" s="158" t="s">
        <v>197</v>
      </c>
      <c r="K21" s="97" t="s">
        <v>198</v>
      </c>
      <c r="L21" s="97">
        <v>0.8</v>
      </c>
      <c r="M21" s="97">
        <v>0.6</v>
      </c>
      <c r="N21" s="97">
        <v>50</v>
      </c>
      <c r="O21" s="97">
        <v>1.1299999999999999</v>
      </c>
      <c r="P21" s="97">
        <v>2.6</v>
      </c>
      <c r="R21" s="97" t="str">
        <f>t_Fruchtarten_Nährstoffe[[#This Row],[FRUARTTEXT]]</f>
        <v>Hafer</v>
      </c>
    </row>
    <row r="22" spans="1:18" x14ac:dyDescent="0.35">
      <c r="I22" s="97" t="str">
        <f>LEFT(t_Fruchtarten_Nährstoffe[[#This Row],[FRUARTTEXT]],1)</f>
        <v>H</v>
      </c>
      <c r="J22" s="158" t="s">
        <v>199</v>
      </c>
      <c r="K22" s="97" t="s">
        <v>200</v>
      </c>
      <c r="L22" s="97">
        <v>0.3</v>
      </c>
      <c r="M22" s="97">
        <v>2</v>
      </c>
      <c r="N22" s="97">
        <v>130</v>
      </c>
      <c r="O22" s="97">
        <v>0.75</v>
      </c>
      <c r="P22" s="97">
        <v>2</v>
      </c>
      <c r="R22" s="97" t="str">
        <f>t_Fruchtarten_Nährstoffe[[#This Row],[FRUARTTEXT]]</f>
        <v>Hanf</v>
      </c>
    </row>
    <row r="23" spans="1:18" x14ac:dyDescent="0.35">
      <c r="A23" s="97" t="s">
        <v>201</v>
      </c>
      <c r="I23" s="97" t="str">
        <f>LEFT(t_Fruchtarten_Nährstoffe[[#This Row],[FRUARTTEXT]],1)</f>
        <v>H</v>
      </c>
      <c r="J23" s="158" t="s">
        <v>202</v>
      </c>
      <c r="K23" s="97" t="s">
        <v>203</v>
      </c>
      <c r="L23" s="97">
        <v>0.04</v>
      </c>
      <c r="M23" s="97">
        <v>0.2</v>
      </c>
      <c r="N23" s="97">
        <v>100</v>
      </c>
      <c r="O23" s="97">
        <v>0.04</v>
      </c>
      <c r="P23" s="97">
        <v>0.2</v>
      </c>
      <c r="R23" s="97" t="str">
        <f>t_Fruchtarten_Nährstoffe[[#This Row],[FRUARTTEXT]]</f>
        <v>Himbeere</v>
      </c>
    </row>
    <row r="24" spans="1:18" x14ac:dyDescent="0.35">
      <c r="I24" s="97" t="str">
        <f>LEFT(t_Fruchtarten_Nährstoffe[[#This Row],[FRUARTTEXT]],1)</f>
        <v>J</v>
      </c>
      <c r="J24" s="158" t="s">
        <v>204</v>
      </c>
      <c r="K24" s="97" t="s">
        <v>205</v>
      </c>
      <c r="L24" s="97">
        <v>0.05</v>
      </c>
      <c r="M24" s="97">
        <v>0.35</v>
      </c>
      <c r="N24" s="97">
        <v>100</v>
      </c>
      <c r="O24" s="97">
        <v>0.05</v>
      </c>
      <c r="P24" s="97">
        <v>0.35</v>
      </c>
      <c r="R24" s="97" t="str">
        <f>t_Fruchtarten_Nährstoffe[[#This Row],[FRUARTTEXT]]</f>
        <v>Johannisbeere</v>
      </c>
    </row>
    <row r="25" spans="1:18" x14ac:dyDescent="0.35">
      <c r="A25" s="97" t="s">
        <v>206</v>
      </c>
      <c r="B25" s="97" t="s">
        <v>207</v>
      </c>
      <c r="I25" s="97" t="str">
        <f>LEFT(t_Fruchtarten_Nährstoffe[[#This Row],[FRUARTTEXT]],1)</f>
        <v>J</v>
      </c>
      <c r="J25" s="158" t="s">
        <v>208</v>
      </c>
      <c r="K25" s="97" t="s">
        <v>209</v>
      </c>
      <c r="L25" s="97">
        <v>0.21</v>
      </c>
      <c r="M25" s="97">
        <v>0.53</v>
      </c>
      <c r="N25" s="97">
        <v>200</v>
      </c>
      <c r="O25" s="97">
        <v>0.21</v>
      </c>
      <c r="P25" s="97">
        <v>0.53</v>
      </c>
      <c r="R25" s="97" t="str">
        <f>t_Fruchtarten_Nährstoffe[[#This Row],[FRUARTTEXT]]</f>
        <v>Johanniskraut</v>
      </c>
    </row>
    <row r="26" spans="1:18" x14ac:dyDescent="0.35">
      <c r="A26" s="97" t="s">
        <v>210</v>
      </c>
      <c r="B26" s="97" t="s">
        <v>211</v>
      </c>
      <c r="H26" s="97">
        <v>1</v>
      </c>
      <c r="I26" s="97" t="str">
        <f>LEFT(t_Fruchtarten_Nährstoffe[[#This Row],[FRUARTTEXT]],1)</f>
        <v>K</v>
      </c>
      <c r="J26" s="158" t="s">
        <v>212</v>
      </c>
      <c r="K26" s="97" t="s">
        <v>213</v>
      </c>
      <c r="L26" s="97">
        <v>0.14000000000000001</v>
      </c>
      <c r="M26" s="97">
        <v>0.6</v>
      </c>
      <c r="N26" s="97">
        <v>400</v>
      </c>
      <c r="O26" s="97">
        <v>0.15</v>
      </c>
      <c r="P26" s="97">
        <v>0.8</v>
      </c>
      <c r="R26" s="97" t="str">
        <f>t_Fruchtarten_Nährstoffe[[#This Row],[FRUARTTEXT]]</f>
        <v>Kartoffeln</v>
      </c>
    </row>
    <row r="27" spans="1:18" x14ac:dyDescent="0.35">
      <c r="A27" s="97" t="s">
        <v>214</v>
      </c>
      <c r="B27" s="97" t="s">
        <v>215</v>
      </c>
      <c r="I27" s="97" t="str">
        <f>LEFT(t_Fruchtarten_Nährstoffe[[#This Row],[FRUARTTEXT]],1)</f>
        <v>K</v>
      </c>
      <c r="J27" s="158" t="s">
        <v>216</v>
      </c>
      <c r="K27" s="97" t="s">
        <v>213</v>
      </c>
      <c r="L27" s="97">
        <v>0.14000000000000001</v>
      </c>
      <c r="M27" s="97">
        <v>0.45</v>
      </c>
      <c r="N27" s="97">
        <v>400</v>
      </c>
      <c r="O27" s="97">
        <v>0.15</v>
      </c>
      <c r="P27" s="97">
        <v>0.65</v>
      </c>
      <c r="R27" s="97" t="str">
        <f>t_Fruchtarten_Nährstoffe[[#This Row],[FRUARTTEXT]]</f>
        <v>Kartoffeln</v>
      </c>
    </row>
    <row r="28" spans="1:18" x14ac:dyDescent="0.35">
      <c r="I28" s="97" t="str">
        <f>LEFT(t_Fruchtarten_Nährstoffe[[#This Row],[FRUARTTEXT]],1)</f>
        <v>K</v>
      </c>
      <c r="J28" s="158" t="s">
        <v>217</v>
      </c>
      <c r="K28" s="97" t="s">
        <v>218</v>
      </c>
      <c r="L28" s="97">
        <v>0.03</v>
      </c>
      <c r="M28" s="97">
        <v>0.19</v>
      </c>
      <c r="N28" s="97">
        <v>400</v>
      </c>
      <c r="O28" s="97">
        <v>0.03</v>
      </c>
      <c r="P28" s="97">
        <v>0.19</v>
      </c>
      <c r="R28" s="97" t="str">
        <f>t_Fruchtarten_Nährstoffe[[#This Row],[FRUARTTEXT]]</f>
        <v>Kernobst</v>
      </c>
    </row>
    <row r="29" spans="1:18" x14ac:dyDescent="0.35">
      <c r="I29" s="97" t="str">
        <f>LEFT(t_Fruchtarten_Nährstoffe[[#This Row],[FRUARTTEXT]],1)</f>
        <v>K</v>
      </c>
      <c r="J29" s="158" t="s">
        <v>219</v>
      </c>
      <c r="K29" s="97" t="s">
        <v>220</v>
      </c>
      <c r="L29" s="97">
        <v>1.46</v>
      </c>
      <c r="M29" s="97">
        <v>1.25</v>
      </c>
      <c r="N29" s="97">
        <v>4</v>
      </c>
      <c r="O29" s="97">
        <v>3.86</v>
      </c>
      <c r="R29" s="97" t="str">
        <f>t_Fruchtarten_Nährstoffe[[#This Row],[FRUARTTEXT]]</f>
        <v>Klee-,Luzerneverm.</v>
      </c>
    </row>
    <row r="30" spans="1:18" x14ac:dyDescent="0.35">
      <c r="I30" s="97" t="str">
        <f>LEFT(t_Fruchtarten_Nährstoffe[[#This Row],[FRUARTTEXT]],1)</f>
        <v>K</v>
      </c>
      <c r="J30" s="158" t="s">
        <v>221</v>
      </c>
      <c r="K30" s="97" t="s">
        <v>222</v>
      </c>
      <c r="L30" s="97">
        <v>0.7</v>
      </c>
      <c r="M30" s="97">
        <v>3.25</v>
      </c>
      <c r="N30" s="97">
        <v>105</v>
      </c>
      <c r="O30" s="97">
        <v>0.7</v>
      </c>
      <c r="P30" s="97">
        <v>3.25</v>
      </c>
      <c r="R30" s="97" t="str">
        <f>t_Fruchtarten_Nährstoffe[[#This Row],[FRUARTTEXT]]</f>
        <v>Kleegras (TM)</v>
      </c>
    </row>
    <row r="31" spans="1:18" ht="24" thickBot="1" x14ac:dyDescent="0.4">
      <c r="A31" s="161" t="s">
        <v>23</v>
      </c>
      <c r="I31" s="97" t="str">
        <f>LEFT(t_Fruchtarten_Nährstoffe[[#This Row],[FRUARTTEXT]],1)</f>
        <v>K</v>
      </c>
      <c r="J31" s="158" t="s">
        <v>223</v>
      </c>
      <c r="K31" s="97" t="s">
        <v>224</v>
      </c>
      <c r="L31" s="97">
        <v>1.46</v>
      </c>
      <c r="M31" s="97">
        <v>1.25</v>
      </c>
      <c r="N31" s="97">
        <v>6</v>
      </c>
      <c r="O31" s="97">
        <v>3.86</v>
      </c>
      <c r="R31" s="97" t="str">
        <f>t_Fruchtarten_Nährstoffe[[#This Row],[FRUARTTEXT]]</f>
        <v>Klee-Luzerneverm.</v>
      </c>
    </row>
    <row r="32" spans="1:18" x14ac:dyDescent="0.35">
      <c r="I32" s="97" t="str">
        <f>LEFT(t_Fruchtarten_Nährstoffe[[#This Row],[FRUARTTEXT]],1)</f>
        <v>K</v>
      </c>
      <c r="J32" s="158" t="s">
        <v>225</v>
      </c>
      <c r="K32" s="97" t="s">
        <v>226</v>
      </c>
      <c r="L32" s="97">
        <v>0.1</v>
      </c>
      <c r="M32" s="97">
        <v>0.42</v>
      </c>
      <c r="N32" s="97">
        <v>450</v>
      </c>
      <c r="O32" s="97">
        <v>0.15</v>
      </c>
      <c r="P32" s="97">
        <v>0.63</v>
      </c>
      <c r="R32" s="97" t="str">
        <f>t_Fruchtarten_Nährstoffe[[#This Row],[FRUARTTEXT]]</f>
        <v>Kohlrabi</v>
      </c>
    </row>
    <row r="33" spans="1:18" x14ac:dyDescent="0.35">
      <c r="A33" s="97" t="s">
        <v>23</v>
      </c>
      <c r="B33" s="97" t="s">
        <v>176</v>
      </c>
      <c r="H33" s="97">
        <v>1</v>
      </c>
      <c r="I33" s="97" t="str">
        <f>LEFT(t_Fruchtarten_Nährstoffe[[#This Row],[FRUARTTEXT]],1)</f>
        <v>K</v>
      </c>
      <c r="J33" s="158" t="s">
        <v>227</v>
      </c>
      <c r="K33" s="97" t="s">
        <v>228</v>
      </c>
      <c r="L33" s="97">
        <v>0.8</v>
      </c>
      <c r="M33" s="97">
        <v>0.5</v>
      </c>
      <c r="N33" s="97">
        <v>80</v>
      </c>
      <c r="O33" s="97">
        <v>1</v>
      </c>
      <c r="P33" s="97">
        <v>2.5</v>
      </c>
      <c r="R33" s="97" t="str">
        <f>t_Fruchtarten_Nährstoffe[[#This Row],[FRUARTTEXT]]</f>
        <v>Körnermais</v>
      </c>
    </row>
    <row r="34" spans="1:18" x14ac:dyDescent="0.35">
      <c r="B34" s="97" t="s">
        <v>46</v>
      </c>
      <c r="I34" s="97" t="str">
        <f>LEFT(t_Fruchtarten_Nährstoffe[[#This Row],[FRUARTTEXT]],1)</f>
        <v>K</v>
      </c>
      <c r="J34" s="158" t="s">
        <v>229</v>
      </c>
      <c r="K34" s="97" t="s">
        <v>230</v>
      </c>
      <c r="L34" s="97">
        <v>1.77</v>
      </c>
      <c r="M34" s="97">
        <v>0.93</v>
      </c>
      <c r="N34" s="97">
        <v>15</v>
      </c>
      <c r="O34" s="97">
        <v>2.37</v>
      </c>
      <c r="R34" s="97" t="str">
        <f>t_Fruchtarten_Nährstoffe[[#This Row],[FRUARTTEXT]]</f>
        <v>Körnersenf</v>
      </c>
    </row>
    <row r="35" spans="1:18" x14ac:dyDescent="0.35">
      <c r="B35" s="97" t="s">
        <v>142</v>
      </c>
      <c r="I35" s="97" t="str">
        <f>LEFT(t_Fruchtarten_Nährstoffe[[#This Row],[FRUARTTEXT]],1)</f>
        <v>L</v>
      </c>
      <c r="J35" s="158" t="s">
        <v>231</v>
      </c>
      <c r="K35" s="97" t="s">
        <v>232</v>
      </c>
      <c r="L35" s="97">
        <v>1.02</v>
      </c>
      <c r="M35" s="97">
        <v>1.34</v>
      </c>
      <c r="N35" s="97">
        <v>20</v>
      </c>
      <c r="O35" s="97">
        <v>1.32</v>
      </c>
      <c r="P35" s="97">
        <v>2.0699999999999998</v>
      </c>
      <c r="R35" s="97" t="str">
        <f>t_Fruchtarten_Nährstoffe[[#This Row],[FRUARTTEXT]]</f>
        <v>Lupine</v>
      </c>
    </row>
    <row r="36" spans="1:18" x14ac:dyDescent="0.35">
      <c r="I36" s="97" t="str">
        <f>LEFT(t_Fruchtarten_Nährstoffe[[#This Row],[FRUARTTEXT]],1)</f>
        <v>L</v>
      </c>
      <c r="J36" s="158" t="s">
        <v>233</v>
      </c>
      <c r="K36" s="97" t="s">
        <v>234</v>
      </c>
      <c r="L36" s="97">
        <v>0.14000000000000001</v>
      </c>
      <c r="M36" s="97">
        <v>0.65</v>
      </c>
      <c r="N36" s="97">
        <v>500</v>
      </c>
      <c r="O36" s="97">
        <v>0.14000000000000001</v>
      </c>
      <c r="P36" s="97">
        <v>0.65</v>
      </c>
      <c r="R36" s="97" t="str">
        <f>t_Fruchtarten_Nährstoffe[[#This Row],[FRUARTTEXT]]</f>
        <v>Luzerne</v>
      </c>
    </row>
    <row r="37" spans="1:18" ht="24" thickBot="1" x14ac:dyDescent="0.4">
      <c r="A37" s="161" t="s">
        <v>235</v>
      </c>
      <c r="I37" s="97" t="str">
        <f>LEFT(t_Fruchtarten_Nährstoffe[[#This Row],[FRUARTTEXT]],1)</f>
        <v>L</v>
      </c>
      <c r="J37" s="158" t="s">
        <v>236</v>
      </c>
      <c r="K37" s="97" t="s">
        <v>237</v>
      </c>
      <c r="L37" s="97">
        <v>0.7</v>
      </c>
      <c r="M37" s="97">
        <v>3.25</v>
      </c>
      <c r="N37" s="97">
        <v>105</v>
      </c>
      <c r="O37" s="97">
        <v>0.7</v>
      </c>
      <c r="P37" s="97">
        <v>3.25</v>
      </c>
      <c r="R37" s="97" t="str">
        <f>t_Fruchtarten_Nährstoffe[[#This Row],[FRUARTTEXT]]</f>
        <v>Luzerne (TM)</v>
      </c>
    </row>
    <row r="38" spans="1:18" x14ac:dyDescent="0.35">
      <c r="I38" s="97" t="str">
        <f>LEFT(t_Fruchtarten_Nährstoffe[[#This Row],[FRUARTTEXT]],1)</f>
        <v>L</v>
      </c>
      <c r="J38" s="158" t="s">
        <v>238</v>
      </c>
      <c r="K38" s="97" t="s">
        <v>239</v>
      </c>
      <c r="L38" s="97">
        <v>0.7</v>
      </c>
      <c r="M38" s="97">
        <v>3.25</v>
      </c>
      <c r="N38" s="97">
        <v>105</v>
      </c>
      <c r="O38" s="97">
        <v>0.7</v>
      </c>
      <c r="P38" s="97">
        <v>3.25</v>
      </c>
      <c r="R38" s="97" t="str">
        <f>t_Fruchtarten_Nährstoffe[[#This Row],[FRUARTTEXT]]</f>
        <v>Luzernegras (TM)</v>
      </c>
    </row>
    <row r="39" spans="1:18" x14ac:dyDescent="0.35">
      <c r="A39" s="97" t="s">
        <v>25</v>
      </c>
      <c r="B39" s="97" t="s">
        <v>176</v>
      </c>
      <c r="H39" s="97">
        <v>1</v>
      </c>
      <c r="I39" s="97" t="str">
        <f>LEFT(t_Fruchtarten_Nährstoffe[[#This Row],[FRUARTTEXT]],1)</f>
        <v>M</v>
      </c>
      <c r="J39" s="158" t="s">
        <v>240</v>
      </c>
      <c r="K39" s="97" t="s">
        <v>241</v>
      </c>
      <c r="L39" s="97">
        <v>1.25</v>
      </c>
      <c r="M39" s="97">
        <v>3.5</v>
      </c>
      <c r="N39" s="97">
        <v>35</v>
      </c>
      <c r="O39" s="97">
        <v>1.25</v>
      </c>
      <c r="P39" s="97">
        <v>3.5</v>
      </c>
      <c r="R39" s="97" t="str">
        <f>t_Fruchtarten_Nährstoffe[[#This Row],[FRUARTTEXT]]</f>
        <v>Mähweide, 1 Schnitt</v>
      </c>
    </row>
    <row r="40" spans="1:18" x14ac:dyDescent="0.35">
      <c r="B40" s="97" t="s">
        <v>46</v>
      </c>
      <c r="H40" s="97">
        <v>1</v>
      </c>
      <c r="I40" s="97" t="str">
        <f>LEFT(t_Fruchtarten_Nährstoffe[[#This Row],[FRUARTTEXT]],1)</f>
        <v>M</v>
      </c>
      <c r="J40" s="158" t="s">
        <v>242</v>
      </c>
      <c r="K40" s="97" t="s">
        <v>243</v>
      </c>
      <c r="L40" s="97">
        <v>1.25</v>
      </c>
      <c r="M40" s="97">
        <v>3.5</v>
      </c>
      <c r="N40" s="97">
        <v>60</v>
      </c>
      <c r="O40" s="97">
        <v>1.25</v>
      </c>
      <c r="P40" s="97">
        <v>3.5</v>
      </c>
      <c r="R40" s="97" t="str">
        <f>t_Fruchtarten_Nährstoffe[[#This Row],[FRUARTTEXT]]</f>
        <v>Mähweide, 2 Schnitte</v>
      </c>
    </row>
    <row r="41" spans="1:18" x14ac:dyDescent="0.35">
      <c r="B41" s="97" t="s">
        <v>142</v>
      </c>
      <c r="H41" s="97">
        <v>1</v>
      </c>
      <c r="I41" s="97" t="str">
        <f>LEFT(t_Fruchtarten_Nährstoffe[[#This Row],[FRUARTTEXT]],1)</f>
        <v>M</v>
      </c>
      <c r="J41" s="158" t="s">
        <v>244</v>
      </c>
      <c r="K41" s="97" t="s">
        <v>245</v>
      </c>
      <c r="L41" s="97">
        <v>1.25</v>
      </c>
      <c r="M41" s="97">
        <v>3.5</v>
      </c>
      <c r="N41" s="97">
        <v>75</v>
      </c>
      <c r="O41" s="97">
        <v>1.25</v>
      </c>
      <c r="P41" s="97">
        <v>3.5</v>
      </c>
      <c r="R41" s="97" t="str">
        <f>t_Fruchtarten_Nährstoffe[[#This Row],[FRUARTTEXT]]</f>
        <v>Mähweide, 3 Schnitte</v>
      </c>
    </row>
    <row r="42" spans="1:18" x14ac:dyDescent="0.35">
      <c r="H42" s="97">
        <v>1</v>
      </c>
      <c r="I42" s="97" t="str">
        <f>LEFT(t_Fruchtarten_Nährstoffe[[#This Row],[FRUARTTEXT]],1)</f>
        <v>M</v>
      </c>
      <c r="J42" s="158" t="s">
        <v>246</v>
      </c>
      <c r="K42" s="97" t="s">
        <v>247</v>
      </c>
      <c r="L42" s="97">
        <v>1.25</v>
      </c>
      <c r="M42" s="97">
        <v>3.5</v>
      </c>
      <c r="N42" s="97">
        <v>90</v>
      </c>
      <c r="O42" s="97">
        <v>1.25</v>
      </c>
      <c r="P42" s="97">
        <v>3.5</v>
      </c>
      <c r="R42" s="97" t="str">
        <f>t_Fruchtarten_Nährstoffe[[#This Row],[FRUARTTEXT]]</f>
        <v>Mähweide, 4 Schnitte</v>
      </c>
    </row>
    <row r="43" spans="1:18" ht="24" thickBot="1" x14ac:dyDescent="0.4">
      <c r="A43" s="161" t="s">
        <v>597</v>
      </c>
      <c r="H43" s="97">
        <v>1</v>
      </c>
      <c r="I43" s="97" t="str">
        <f>LEFT(t_Fruchtarten_Nährstoffe[[#This Row],[FRUARTTEXT]],1)</f>
        <v>M</v>
      </c>
      <c r="J43" s="158" t="s">
        <v>248</v>
      </c>
      <c r="K43" s="97" t="s">
        <v>249</v>
      </c>
      <c r="L43" s="97">
        <v>1.25</v>
      </c>
      <c r="M43" s="97">
        <v>3.5</v>
      </c>
      <c r="N43" s="97">
        <v>20</v>
      </c>
      <c r="O43" s="97">
        <v>1.25</v>
      </c>
      <c r="P43" s="97">
        <v>3.5</v>
      </c>
      <c r="R43" s="97" t="str">
        <f>t_Fruchtarten_Nährstoffe[[#This Row],[FRUARTTEXT]]</f>
        <v>Mähweide, extensiv</v>
      </c>
    </row>
    <row r="44" spans="1:18" x14ac:dyDescent="0.35">
      <c r="I44" s="97" t="str">
        <f>LEFT(t_Fruchtarten_Nährstoffe[[#This Row],[FRUARTTEXT]],1)</f>
        <v>M</v>
      </c>
      <c r="J44" s="158" t="s">
        <v>250</v>
      </c>
      <c r="K44" s="97" t="s">
        <v>251</v>
      </c>
      <c r="L44" s="97">
        <v>0.1</v>
      </c>
      <c r="M44" s="97">
        <v>0.42</v>
      </c>
      <c r="N44" s="97">
        <v>650</v>
      </c>
      <c r="O44" s="97">
        <v>0.14000000000000001</v>
      </c>
      <c r="P44" s="97">
        <v>0.56999999999999995</v>
      </c>
      <c r="R44" s="97" t="str">
        <f>t_Fruchtarten_Nährstoffe[[#This Row],[FRUARTTEXT]]</f>
        <v>Mairübe</v>
      </c>
    </row>
    <row r="45" spans="1:18" x14ac:dyDescent="0.35">
      <c r="A45" s="165" t="s">
        <v>598</v>
      </c>
      <c r="I45" s="97" t="str">
        <f>LEFT(t_Fruchtarten_Nährstoffe[[#This Row],[FRUARTTEXT]],1)</f>
        <v>M</v>
      </c>
      <c r="J45" s="158" t="s">
        <v>252</v>
      </c>
      <c r="K45" s="97" t="s">
        <v>253</v>
      </c>
      <c r="L45" s="97">
        <v>0.08</v>
      </c>
      <c r="M45" s="97">
        <v>0.53</v>
      </c>
      <c r="N45" s="97">
        <v>600</v>
      </c>
      <c r="O45" s="97">
        <v>0.11</v>
      </c>
      <c r="P45" s="97">
        <v>0.64</v>
      </c>
      <c r="R45" s="97" t="str">
        <f>t_Fruchtarten_Nährstoffe[[#This Row],[FRUARTTEXT]]</f>
        <v>Möhren, Bund-</v>
      </c>
    </row>
    <row r="46" spans="1:18" x14ac:dyDescent="0.35">
      <c r="A46" s="164" t="s">
        <v>599</v>
      </c>
      <c r="I46" s="97" t="str">
        <f>LEFT(t_Fruchtarten_Nährstoffe[[#This Row],[FRUARTTEXT]],1)</f>
        <v>M</v>
      </c>
      <c r="J46" s="158" t="s">
        <v>254</v>
      </c>
      <c r="K46" s="97" t="s">
        <v>255</v>
      </c>
      <c r="L46" s="97">
        <v>0.08</v>
      </c>
      <c r="M46" s="97">
        <v>0.42</v>
      </c>
      <c r="N46" s="97">
        <v>700</v>
      </c>
      <c r="O46" s="97">
        <v>0.12</v>
      </c>
      <c r="P46" s="97">
        <v>0.6</v>
      </c>
      <c r="R46" s="97" t="str">
        <f>t_Fruchtarten_Nährstoffe[[#This Row],[FRUARTTEXT]]</f>
        <v>Möhren, Wasch-</v>
      </c>
    </row>
    <row r="47" spans="1:18" x14ac:dyDescent="0.35">
      <c r="I47" s="97" t="str">
        <f>LEFT(t_Fruchtarten_Nährstoffe[[#This Row],[FRUARTTEXT]],1)</f>
        <v>Ö</v>
      </c>
      <c r="J47" s="158" t="s">
        <v>256</v>
      </c>
      <c r="K47" s="97" t="s">
        <v>257</v>
      </c>
      <c r="L47" s="97">
        <v>1.2</v>
      </c>
      <c r="M47" s="97">
        <v>1</v>
      </c>
      <c r="N47" s="97">
        <v>20</v>
      </c>
      <c r="O47" s="97">
        <v>1.5</v>
      </c>
      <c r="P47" s="97">
        <v>3.1</v>
      </c>
      <c r="R47" s="97" t="str">
        <f>t_Fruchtarten_Nährstoffe[[#This Row],[FRUARTTEXT]]</f>
        <v>Öllein</v>
      </c>
    </row>
    <row r="48" spans="1:18" x14ac:dyDescent="0.35">
      <c r="I48" s="97" t="str">
        <f>LEFT(t_Fruchtarten_Nährstoffe[[#This Row],[FRUARTTEXT]],1)</f>
        <v>Ö</v>
      </c>
      <c r="J48" s="158" t="s">
        <v>258</v>
      </c>
      <c r="K48" s="97" t="s">
        <v>259</v>
      </c>
      <c r="L48" s="97">
        <v>1.2</v>
      </c>
      <c r="M48" s="97">
        <v>1</v>
      </c>
      <c r="N48" s="97">
        <v>20</v>
      </c>
      <c r="O48" s="97">
        <v>1.5</v>
      </c>
      <c r="P48" s="97">
        <v>3.1</v>
      </c>
      <c r="R48" s="97" t="str">
        <f>t_Fruchtarten_Nährstoffe[[#This Row],[FRUARTTEXT]]</f>
        <v>Öllein (91 % TS)</v>
      </c>
    </row>
    <row r="49" spans="8:18" x14ac:dyDescent="0.35">
      <c r="I49" s="97" t="str">
        <f>LEFT(t_Fruchtarten_Nährstoffe[[#This Row],[FRUARTTEXT]],1)</f>
        <v>P</v>
      </c>
      <c r="J49" s="158" t="s">
        <v>260</v>
      </c>
      <c r="K49" s="97" t="s">
        <v>261</v>
      </c>
      <c r="L49" s="97">
        <v>0.08</v>
      </c>
      <c r="M49" s="97">
        <v>0.36</v>
      </c>
      <c r="N49" s="97">
        <v>500</v>
      </c>
      <c r="O49" s="97">
        <v>0.14000000000000001</v>
      </c>
      <c r="P49" s="97">
        <v>0.8</v>
      </c>
      <c r="R49" s="97" t="str">
        <f>t_Fruchtarten_Nährstoffe[[#This Row],[FRUARTTEXT]]</f>
        <v>Porree</v>
      </c>
    </row>
    <row r="50" spans="8:18" x14ac:dyDescent="0.35">
      <c r="I50" s="97" t="str">
        <f>LEFT(t_Fruchtarten_Nährstoffe[[#This Row],[FRUARTTEXT]],1)</f>
        <v>R</v>
      </c>
      <c r="J50" s="158" t="s">
        <v>262</v>
      </c>
      <c r="K50" s="97" t="s">
        <v>263</v>
      </c>
      <c r="L50" s="97">
        <v>7.0000000000000007E-2</v>
      </c>
      <c r="M50" s="97">
        <v>0.34</v>
      </c>
      <c r="N50" s="97">
        <v>300</v>
      </c>
      <c r="O50" s="97">
        <v>0.1</v>
      </c>
      <c r="P50" s="97">
        <v>0.48</v>
      </c>
      <c r="R50" s="97" t="str">
        <f>t_Fruchtarten_Nährstoffe[[#This Row],[FRUARTTEXT]]</f>
        <v>Radies</v>
      </c>
    </row>
    <row r="51" spans="8:18" x14ac:dyDescent="0.35">
      <c r="I51" s="97" t="str">
        <f>LEFT(t_Fruchtarten_Nährstoffe[[#This Row],[FRUARTTEXT]],1)</f>
        <v>S</v>
      </c>
      <c r="J51" s="158" t="s">
        <v>264</v>
      </c>
      <c r="K51" s="97" t="s">
        <v>265</v>
      </c>
      <c r="L51" s="97">
        <v>0.13</v>
      </c>
      <c r="M51" s="97">
        <v>0.56999999999999995</v>
      </c>
      <c r="N51" s="97">
        <v>600</v>
      </c>
      <c r="O51" s="97">
        <v>0.14000000000000001</v>
      </c>
      <c r="P51" s="97">
        <v>0.61</v>
      </c>
      <c r="R51" s="97" t="str">
        <f>t_Fruchtarten_Nährstoffe[[#This Row],[FRUARTTEXT]]</f>
        <v>Sellerie</v>
      </c>
    </row>
    <row r="52" spans="8:18" x14ac:dyDescent="0.35">
      <c r="I52" s="97" t="str">
        <f>LEFT(t_Fruchtarten_Nährstoffe[[#This Row],[FRUARTTEXT]],1)</f>
        <v>S</v>
      </c>
      <c r="J52" s="158" t="s">
        <v>266</v>
      </c>
      <c r="K52" s="97" t="s">
        <v>267</v>
      </c>
      <c r="L52" s="97">
        <v>0.13</v>
      </c>
      <c r="M52" s="97">
        <v>0.56999999999999995</v>
      </c>
      <c r="N52" s="97">
        <v>600</v>
      </c>
      <c r="O52" s="97">
        <v>0.14000000000000001</v>
      </c>
      <c r="P52" s="97">
        <v>0.61</v>
      </c>
      <c r="R52" s="97" t="str">
        <f>t_Fruchtarten_Nährstoffe[[#This Row],[FRUARTTEXT]]</f>
        <v>Sellerie, Bund-</v>
      </c>
    </row>
    <row r="53" spans="8:18" x14ac:dyDescent="0.35">
      <c r="I53" s="97" t="str">
        <f>LEFT(t_Fruchtarten_Nährstoffe[[#This Row],[FRUARTTEXT]],1)</f>
        <v>S</v>
      </c>
      <c r="J53" s="158" t="s">
        <v>268</v>
      </c>
      <c r="K53" s="97" t="s">
        <v>269</v>
      </c>
      <c r="L53" s="97">
        <v>0.15</v>
      </c>
      <c r="M53" s="97">
        <v>0.54</v>
      </c>
      <c r="N53" s="97">
        <v>500</v>
      </c>
      <c r="O53" s="97">
        <v>0.21</v>
      </c>
      <c r="P53" s="97">
        <v>0.92</v>
      </c>
      <c r="R53" s="97" t="str">
        <f>t_Fruchtarten_Nährstoffe[[#This Row],[FRUARTTEXT]]</f>
        <v>Sellerie, Knollen-</v>
      </c>
    </row>
    <row r="54" spans="8:18" x14ac:dyDescent="0.35">
      <c r="I54" s="97" t="str">
        <f>LEFT(t_Fruchtarten_Nährstoffe[[#This Row],[FRUARTTEXT]],1)</f>
        <v>S</v>
      </c>
      <c r="J54" s="158" t="s">
        <v>270</v>
      </c>
      <c r="K54" s="97" t="s">
        <v>271</v>
      </c>
      <c r="L54" s="97">
        <v>0.12</v>
      </c>
      <c r="M54" s="97">
        <v>0.54</v>
      </c>
      <c r="N54" s="97">
        <v>500</v>
      </c>
      <c r="O54" s="97">
        <v>0.18</v>
      </c>
      <c r="P54" s="97">
        <v>0.99</v>
      </c>
      <c r="R54" s="97" t="str">
        <f>t_Fruchtarten_Nährstoffe[[#This Row],[FRUARTTEXT]]</f>
        <v>Sellerie, Stangen-</v>
      </c>
    </row>
    <row r="55" spans="8:18" x14ac:dyDescent="0.35">
      <c r="H55" s="97">
        <v>1</v>
      </c>
      <c r="I55" s="97" t="str">
        <f>LEFT(t_Fruchtarten_Nährstoffe[[#This Row],[FRUARTTEXT]],1)</f>
        <v>S</v>
      </c>
      <c r="J55" s="158" t="s">
        <v>272</v>
      </c>
      <c r="K55" s="97" t="s">
        <v>273</v>
      </c>
      <c r="L55" s="97">
        <v>0.16</v>
      </c>
      <c r="M55" s="97">
        <v>0.45</v>
      </c>
      <c r="N55" s="97">
        <v>500</v>
      </c>
      <c r="O55" s="97">
        <v>0.16</v>
      </c>
      <c r="P55" s="97">
        <v>0.45</v>
      </c>
      <c r="R55" s="97" t="str">
        <f>t_Fruchtarten_Nährstoffe[[#This Row],[FRUARTTEXT]]</f>
        <v>Silomais</v>
      </c>
    </row>
    <row r="56" spans="8:18" x14ac:dyDescent="0.35">
      <c r="I56" s="97" t="str">
        <f>LEFT(t_Fruchtarten_Nährstoffe[[#This Row],[FRUARTTEXT]],1)</f>
        <v>S</v>
      </c>
      <c r="J56" s="158" t="s">
        <v>274</v>
      </c>
      <c r="K56" s="97" t="s">
        <v>275</v>
      </c>
      <c r="L56" s="97">
        <v>0.56999999999999995</v>
      </c>
      <c r="M56" s="97">
        <v>1.61</v>
      </c>
      <c r="N56" s="97">
        <v>110</v>
      </c>
      <c r="O56" s="97">
        <v>0.56999999999999995</v>
      </c>
      <c r="P56" s="97">
        <v>1.61</v>
      </c>
      <c r="R56" s="97" t="str">
        <f>t_Fruchtarten_Nährstoffe[[#This Row],[FRUARTTEXT]]</f>
        <v>Silomais (TM)</v>
      </c>
    </row>
    <row r="57" spans="8:18" x14ac:dyDescent="0.35">
      <c r="I57" s="97" t="str">
        <f>LEFT(t_Fruchtarten_Nährstoffe[[#This Row],[FRUARTTEXT]],1)</f>
        <v>S</v>
      </c>
      <c r="J57" s="158" t="s">
        <v>276</v>
      </c>
      <c r="K57" s="97" t="s">
        <v>277</v>
      </c>
      <c r="L57" s="97">
        <v>1.5</v>
      </c>
      <c r="M57" s="97">
        <v>1.7</v>
      </c>
      <c r="N57" s="97">
        <v>25</v>
      </c>
      <c r="O57" s="97">
        <v>1.8</v>
      </c>
      <c r="P57" s="97">
        <v>5.7</v>
      </c>
      <c r="R57" s="97" t="str">
        <f>t_Fruchtarten_Nährstoffe[[#This Row],[FRUARTTEXT]]</f>
        <v>Sojabohnen</v>
      </c>
    </row>
    <row r="58" spans="8:18" x14ac:dyDescent="0.35">
      <c r="H58" s="97">
        <v>1</v>
      </c>
      <c r="I58" s="97" t="str">
        <f>LEFT(t_Fruchtarten_Nährstoffe[[#This Row],[FRUARTTEXT]],1)</f>
        <v>S</v>
      </c>
      <c r="J58" s="158" t="s">
        <v>278</v>
      </c>
      <c r="K58" s="97" t="s">
        <v>279</v>
      </c>
      <c r="L58" s="97">
        <v>0.8</v>
      </c>
      <c r="M58" s="97">
        <v>0.6</v>
      </c>
      <c r="N58" s="97">
        <v>50</v>
      </c>
      <c r="O58" s="97">
        <v>1.01</v>
      </c>
      <c r="P58" s="97">
        <v>2.2999999999999998</v>
      </c>
      <c r="R58" s="97" t="str">
        <f>t_Fruchtarten_Nährstoffe[[#This Row],[FRUARTTEXT]]</f>
        <v>Sommerbraugerste</v>
      </c>
    </row>
    <row r="59" spans="8:18" x14ac:dyDescent="0.35">
      <c r="H59" s="97">
        <v>1</v>
      </c>
      <c r="I59" s="97" t="str">
        <f>LEFT(t_Fruchtarten_Nährstoffe[[#This Row],[FRUARTTEXT]],1)</f>
        <v>S</v>
      </c>
      <c r="J59" s="158" t="s">
        <v>280</v>
      </c>
      <c r="K59" s="97" t="s">
        <v>281</v>
      </c>
      <c r="L59" s="97">
        <v>0.8</v>
      </c>
      <c r="M59" s="97">
        <v>0.6</v>
      </c>
      <c r="N59" s="97">
        <v>50</v>
      </c>
      <c r="O59" s="97">
        <v>1.04</v>
      </c>
      <c r="P59" s="97">
        <v>2.2999999999999998</v>
      </c>
      <c r="R59" s="97" t="str">
        <f>t_Fruchtarten_Nährstoffe[[#This Row],[FRUARTTEXT]]</f>
        <v>Sommergerste (Fut.)</v>
      </c>
    </row>
    <row r="60" spans="8:18" x14ac:dyDescent="0.35">
      <c r="H60" s="97">
        <v>1</v>
      </c>
      <c r="I60" s="97" t="str">
        <f>LEFT(t_Fruchtarten_Nährstoffe[[#This Row],[FRUARTTEXT]],1)</f>
        <v>S</v>
      </c>
      <c r="J60" s="158" t="s">
        <v>282</v>
      </c>
      <c r="K60" s="97" t="s">
        <v>283</v>
      </c>
      <c r="L60" s="97">
        <v>1.8</v>
      </c>
      <c r="M60" s="97">
        <v>1</v>
      </c>
      <c r="N60" s="97">
        <v>25</v>
      </c>
      <c r="O60" s="97">
        <v>2.48</v>
      </c>
      <c r="P60" s="97">
        <v>5</v>
      </c>
      <c r="R60" s="97" t="str">
        <f>t_Fruchtarten_Nährstoffe[[#This Row],[FRUARTTEXT]]</f>
        <v>Sommerraps</v>
      </c>
    </row>
    <row r="61" spans="8:18" x14ac:dyDescent="0.35">
      <c r="H61" s="97">
        <v>1</v>
      </c>
      <c r="I61" s="97" t="str">
        <f>LEFT(t_Fruchtarten_Nährstoffe[[#This Row],[FRUARTTEXT]],1)</f>
        <v>S</v>
      </c>
      <c r="J61" s="158" t="s">
        <v>284</v>
      </c>
      <c r="K61" s="97" t="s">
        <v>285</v>
      </c>
      <c r="L61" s="97">
        <v>0.8</v>
      </c>
      <c r="M61" s="97">
        <v>0.6</v>
      </c>
      <c r="N61" s="97">
        <v>50</v>
      </c>
      <c r="O61" s="97">
        <v>1.07</v>
      </c>
      <c r="P61" s="97">
        <v>2.6</v>
      </c>
      <c r="R61" s="97" t="str">
        <f>t_Fruchtarten_Nährstoffe[[#This Row],[FRUARTTEXT]]</f>
        <v>Sommerroggen</v>
      </c>
    </row>
    <row r="62" spans="8:18" x14ac:dyDescent="0.35">
      <c r="H62" s="97">
        <v>1</v>
      </c>
      <c r="I62" s="97" t="str">
        <f>LEFT(t_Fruchtarten_Nährstoffe[[#This Row],[FRUARTTEXT]],1)</f>
        <v>S</v>
      </c>
      <c r="J62" s="158" t="s">
        <v>286</v>
      </c>
      <c r="K62" s="97" t="s">
        <v>287</v>
      </c>
      <c r="L62" s="97">
        <v>0.8</v>
      </c>
      <c r="M62" s="97">
        <v>0.6</v>
      </c>
      <c r="N62" s="97">
        <v>60</v>
      </c>
      <c r="O62" s="97">
        <v>1.04</v>
      </c>
      <c r="P62" s="97">
        <v>2</v>
      </c>
      <c r="R62" s="97" t="str">
        <f>t_Fruchtarten_Nährstoffe[[#This Row],[FRUARTTEXT]]</f>
        <v>Sommerweizen</v>
      </c>
    </row>
    <row r="63" spans="8:18" x14ac:dyDescent="0.35">
      <c r="H63" s="97">
        <v>1</v>
      </c>
      <c r="I63" s="97" t="str">
        <f>LEFT(t_Fruchtarten_Nährstoffe[[#This Row],[FRUARTTEXT]],1)</f>
        <v>S</v>
      </c>
      <c r="J63" s="158" t="s">
        <v>288</v>
      </c>
      <c r="K63" s="97" t="s">
        <v>289</v>
      </c>
      <c r="L63" s="97">
        <v>1.6</v>
      </c>
      <c r="M63" s="97">
        <v>2.4</v>
      </c>
      <c r="N63" s="97">
        <v>27</v>
      </c>
      <c r="O63" s="97">
        <v>3.4</v>
      </c>
      <c r="P63" s="97">
        <v>11.4</v>
      </c>
      <c r="R63" s="97" t="str">
        <f>t_Fruchtarten_Nährstoffe[[#This Row],[FRUARTTEXT]]</f>
        <v>Sonnenblumen</v>
      </c>
    </row>
    <row r="64" spans="8:18" x14ac:dyDescent="0.35">
      <c r="I64" s="97" t="str">
        <f>LEFT(t_Fruchtarten_Nährstoffe[[#This Row],[FRUARTTEXT]],1)</f>
        <v>S</v>
      </c>
      <c r="J64" s="158" t="s">
        <v>290</v>
      </c>
      <c r="K64" s="97" t="s">
        <v>291</v>
      </c>
      <c r="L64" s="97">
        <v>0.08</v>
      </c>
      <c r="M64" s="97">
        <v>0.24</v>
      </c>
      <c r="N64" s="97">
        <v>80</v>
      </c>
      <c r="O64" s="97">
        <v>0.3</v>
      </c>
      <c r="P64" s="97">
        <v>0.98</v>
      </c>
      <c r="R64" s="97" t="str">
        <f>t_Fruchtarten_Nährstoffe[[#This Row],[FRUARTTEXT]]</f>
        <v>Spargel</v>
      </c>
    </row>
    <row r="65" spans="8:18" x14ac:dyDescent="0.35">
      <c r="I65" s="97" t="str">
        <f>LEFT(t_Fruchtarten_Nährstoffe[[#This Row],[FRUARTTEXT]],1)</f>
        <v>S</v>
      </c>
      <c r="J65" s="158" t="s">
        <v>292</v>
      </c>
      <c r="K65" s="97" t="s">
        <v>291</v>
      </c>
      <c r="L65" s="97">
        <v>1</v>
      </c>
      <c r="M65" s="97">
        <v>1</v>
      </c>
      <c r="N65" s="97">
        <v>1</v>
      </c>
      <c r="O65" s="97">
        <v>0.3</v>
      </c>
      <c r="P65" s="97">
        <v>1.25</v>
      </c>
      <c r="R65" s="97" t="str">
        <f>t_Fruchtarten_Nährstoffe[[#This Row],[FRUARTTEXT]]</f>
        <v>Spargel</v>
      </c>
    </row>
    <row r="66" spans="8:18" x14ac:dyDescent="0.35">
      <c r="I66" s="97" t="str">
        <f>LEFT(t_Fruchtarten_Nährstoffe[[#This Row],[FRUARTTEXT]],1)</f>
        <v>S</v>
      </c>
      <c r="J66" s="158" t="s">
        <v>293</v>
      </c>
      <c r="K66" s="97" t="s">
        <v>294</v>
      </c>
      <c r="L66" s="97">
        <v>0.06</v>
      </c>
      <c r="M66" s="97">
        <v>0.3</v>
      </c>
      <c r="N66" s="97">
        <v>200</v>
      </c>
      <c r="O66" s="97">
        <v>0.06</v>
      </c>
      <c r="P66" s="97">
        <v>0.3</v>
      </c>
      <c r="R66" s="97" t="str">
        <f>t_Fruchtarten_Nährstoffe[[#This Row],[FRUARTTEXT]]</f>
        <v>Steinobst</v>
      </c>
    </row>
    <row r="67" spans="8:18" x14ac:dyDescent="0.35">
      <c r="H67" s="97">
        <v>1</v>
      </c>
      <c r="I67" s="97" t="str">
        <f>LEFT(t_Fruchtarten_Nährstoffe[[#This Row],[FRUARTTEXT]],1)</f>
        <v>T</v>
      </c>
      <c r="J67" s="158" t="s">
        <v>295</v>
      </c>
      <c r="K67" s="97" t="s">
        <v>296</v>
      </c>
      <c r="L67" s="97">
        <v>0.8</v>
      </c>
      <c r="M67" s="97">
        <v>0.6</v>
      </c>
      <c r="N67" s="97">
        <v>60</v>
      </c>
      <c r="O67" s="97">
        <v>1.07</v>
      </c>
      <c r="P67" s="97">
        <v>2.2999999999999998</v>
      </c>
      <c r="R67" s="97" t="str">
        <f>t_Fruchtarten_Nährstoffe[[#This Row],[FRUARTTEXT]]</f>
        <v>Triticale</v>
      </c>
    </row>
    <row r="68" spans="8:18" x14ac:dyDescent="0.35">
      <c r="H68" s="97">
        <v>1</v>
      </c>
      <c r="I68" s="97" t="str">
        <f>LEFT(t_Fruchtarten_Nährstoffe[[#This Row],[FRUARTTEXT]],1)</f>
        <v>W</v>
      </c>
      <c r="J68" s="158" t="s">
        <v>297</v>
      </c>
      <c r="K68" s="97" t="s">
        <v>298</v>
      </c>
      <c r="L68" s="97">
        <v>7</v>
      </c>
      <c r="M68" s="97">
        <v>10</v>
      </c>
      <c r="N68" s="97">
        <v>3</v>
      </c>
      <c r="O68" s="97">
        <v>7</v>
      </c>
      <c r="P68" s="97">
        <v>10</v>
      </c>
      <c r="R68" s="97" t="str">
        <f>t_Fruchtarten_Nährstoffe[[#This Row],[FRUARTTEXT]]</f>
        <v>Weide</v>
      </c>
    </row>
    <row r="69" spans="8:18" x14ac:dyDescent="0.35">
      <c r="H69" s="97">
        <v>1</v>
      </c>
      <c r="I69" s="97" t="str">
        <f>LEFT(t_Fruchtarten_Nährstoffe[[#This Row],[FRUARTTEXT]],1)</f>
        <v>W</v>
      </c>
      <c r="J69" s="158" t="s">
        <v>299</v>
      </c>
      <c r="K69" s="97" t="s">
        <v>300</v>
      </c>
      <c r="L69" s="97">
        <v>0.8</v>
      </c>
      <c r="M69" s="97">
        <v>0.6</v>
      </c>
      <c r="N69" s="97">
        <v>60</v>
      </c>
      <c r="O69" s="97">
        <v>1.1000000000000001</v>
      </c>
      <c r="P69" s="97">
        <v>2.2999999999999998</v>
      </c>
      <c r="R69" s="97" t="str">
        <f>t_Fruchtarten_Nährstoffe[[#This Row],[FRUARTTEXT]]</f>
        <v>Winterbraugerste</v>
      </c>
    </row>
    <row r="70" spans="8:18" x14ac:dyDescent="0.35">
      <c r="H70" s="97">
        <v>1</v>
      </c>
      <c r="I70" s="97" t="str">
        <f>LEFT(t_Fruchtarten_Nährstoffe[[#This Row],[FRUARTTEXT]],1)</f>
        <v>W</v>
      </c>
      <c r="J70" s="158" t="s">
        <v>301</v>
      </c>
      <c r="K70" s="97" t="s">
        <v>302</v>
      </c>
      <c r="L70" s="97">
        <v>0.8</v>
      </c>
      <c r="M70" s="97">
        <v>0.6</v>
      </c>
      <c r="N70" s="97">
        <v>60</v>
      </c>
      <c r="O70" s="97">
        <v>1.1000000000000001</v>
      </c>
      <c r="P70" s="97">
        <v>2</v>
      </c>
      <c r="R70" s="97" t="str">
        <f>t_Fruchtarten_Nährstoffe[[#This Row],[FRUARTTEXT]]</f>
        <v>Winterbrauweizen</v>
      </c>
    </row>
    <row r="71" spans="8:18" x14ac:dyDescent="0.35">
      <c r="H71" s="97">
        <v>1</v>
      </c>
      <c r="I71" s="97" t="str">
        <f>LEFT(t_Fruchtarten_Nährstoffe[[#This Row],[FRUARTTEXT]],1)</f>
        <v>W</v>
      </c>
      <c r="J71" s="158" t="s">
        <v>303</v>
      </c>
      <c r="K71" s="97" t="s">
        <v>304</v>
      </c>
      <c r="L71" s="97">
        <v>0.8</v>
      </c>
      <c r="M71" s="97">
        <v>0.6</v>
      </c>
      <c r="N71" s="97">
        <v>70</v>
      </c>
      <c r="O71" s="97">
        <v>1.01</v>
      </c>
      <c r="P71" s="97">
        <v>1.8</v>
      </c>
      <c r="R71" s="97" t="str">
        <f>t_Fruchtarten_Nährstoffe[[#This Row],[FRUARTTEXT]]</f>
        <v>Wintergerste</v>
      </c>
    </row>
    <row r="72" spans="8:18" x14ac:dyDescent="0.35">
      <c r="H72" s="97">
        <v>1</v>
      </c>
      <c r="I72" s="97" t="str">
        <f>LEFT(t_Fruchtarten_Nährstoffe[[#This Row],[FRUARTTEXT]],1)</f>
        <v>W</v>
      </c>
      <c r="J72" s="158" t="s">
        <v>305</v>
      </c>
      <c r="K72" s="97" t="s">
        <v>306</v>
      </c>
      <c r="L72" s="97">
        <v>1.8</v>
      </c>
      <c r="M72" s="97">
        <v>1</v>
      </c>
      <c r="N72" s="97">
        <v>40</v>
      </c>
      <c r="O72" s="97">
        <v>2.48</v>
      </c>
      <c r="P72" s="97">
        <v>5.27</v>
      </c>
      <c r="R72" s="97" t="str">
        <f>t_Fruchtarten_Nährstoffe[[#This Row],[FRUARTTEXT]]</f>
        <v>Winterraps</v>
      </c>
    </row>
    <row r="73" spans="8:18" x14ac:dyDescent="0.35">
      <c r="H73" s="97">
        <v>1</v>
      </c>
      <c r="I73" s="97" t="str">
        <f>LEFT(t_Fruchtarten_Nährstoffe[[#This Row],[FRUARTTEXT]],1)</f>
        <v>W</v>
      </c>
      <c r="J73" s="158" t="s">
        <v>307</v>
      </c>
      <c r="K73" s="97" t="s">
        <v>308</v>
      </c>
      <c r="L73" s="97">
        <v>0.8</v>
      </c>
      <c r="M73" s="97">
        <v>0.6</v>
      </c>
      <c r="N73" s="97">
        <v>55</v>
      </c>
      <c r="O73" s="97">
        <v>1.07</v>
      </c>
      <c r="P73" s="97">
        <v>2.4</v>
      </c>
      <c r="R73" s="97" t="str">
        <f>t_Fruchtarten_Nährstoffe[[#This Row],[FRUARTTEXT]]</f>
        <v>Winterroggen</v>
      </c>
    </row>
    <row r="74" spans="8:18" x14ac:dyDescent="0.35">
      <c r="H74" s="97">
        <v>1</v>
      </c>
      <c r="I74" s="97" t="str">
        <f>LEFT(t_Fruchtarten_Nährstoffe[[#This Row],[FRUARTTEXT]],1)</f>
        <v>W</v>
      </c>
      <c r="J74" s="158" t="s">
        <v>309</v>
      </c>
      <c r="K74" s="97" t="s">
        <v>310</v>
      </c>
      <c r="L74" s="97">
        <v>0.8</v>
      </c>
      <c r="M74" s="97">
        <v>0.6</v>
      </c>
      <c r="N74" s="97">
        <v>75</v>
      </c>
      <c r="O74" s="97">
        <v>1.04</v>
      </c>
      <c r="P74" s="97">
        <v>1.72</v>
      </c>
      <c r="R74" s="97" t="str">
        <f>t_Fruchtarten_Nährstoffe[[#This Row],[FRUARTTEXT]]</f>
        <v>Winterweizen</v>
      </c>
    </row>
    <row r="75" spans="8:18" x14ac:dyDescent="0.35">
      <c r="H75" s="97">
        <v>1</v>
      </c>
      <c r="I75" s="97" t="str">
        <f>LEFT(t_Fruchtarten_Nährstoffe[[#This Row],[FRUARTTEXT]],1)</f>
        <v>Z</v>
      </c>
      <c r="J75" s="158" t="s">
        <v>311</v>
      </c>
      <c r="K75" s="97" t="s">
        <v>312</v>
      </c>
      <c r="L75" s="97">
        <v>0.1</v>
      </c>
      <c r="M75" s="97">
        <v>0.25</v>
      </c>
      <c r="N75" s="97">
        <v>500</v>
      </c>
      <c r="O75" s="97">
        <v>0.18</v>
      </c>
      <c r="P75" s="97">
        <v>0.75</v>
      </c>
      <c r="R75" s="97" t="str">
        <f>t_Fruchtarten_Nährstoffe[[#This Row],[FRUARTTEXT]]</f>
        <v>Zuckerrüben</v>
      </c>
    </row>
    <row r="76" spans="8:18" x14ac:dyDescent="0.35">
      <c r="I76" s="97" t="str">
        <f>LEFT(t_Fruchtarten_Nährstoffe[[#This Row],[FRUARTTEXT]],1)</f>
        <v>Z</v>
      </c>
      <c r="J76" s="158" t="s">
        <v>313</v>
      </c>
      <c r="K76" s="97" t="s">
        <v>314</v>
      </c>
      <c r="L76" s="97">
        <v>0.06</v>
      </c>
      <c r="M76" s="97">
        <v>0.24</v>
      </c>
      <c r="N76" s="97">
        <v>680</v>
      </c>
      <c r="O76" s="97">
        <v>0.09</v>
      </c>
      <c r="P76" s="97">
        <v>0.35</v>
      </c>
      <c r="R76" s="97" t="str">
        <f>t_Fruchtarten_Nährstoffe[[#This Row],[FRUARTTEXT]]</f>
        <v>Zwiebel, Bund-, früh</v>
      </c>
    </row>
    <row r="77" spans="8:18" x14ac:dyDescent="0.35">
      <c r="I77" s="97" t="str">
        <f>LEFT(t_Fruchtarten_Nährstoffe[[#This Row],[FRUARTTEXT]],1)</f>
        <v>Z</v>
      </c>
      <c r="J77" s="158" t="s">
        <v>315</v>
      </c>
      <c r="K77" s="97" t="s">
        <v>316</v>
      </c>
      <c r="L77" s="97">
        <v>0.06</v>
      </c>
      <c r="M77" s="97">
        <v>0.24</v>
      </c>
      <c r="N77" s="97">
        <v>400</v>
      </c>
      <c r="O77" s="97">
        <v>0.14000000000000001</v>
      </c>
      <c r="P77" s="97">
        <v>0.51</v>
      </c>
      <c r="R77" s="97" t="str">
        <f>t_Fruchtarten_Nährstoffe[[#This Row],[FRUARTTEXT]]</f>
        <v>Zwiebel, Bund-, wint</v>
      </c>
    </row>
  </sheetData>
  <pageMargins left="0.7" right="0.7" top="0.78740157499999996" bottom="0.78740157499999996" header="0.3" footer="0.3"/>
  <pageSetup paperSize="9"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002060"/>
  </sheetPr>
  <dimension ref="A1:E7"/>
  <sheetViews>
    <sheetView workbookViewId="0"/>
  </sheetViews>
  <sheetFormatPr baseColWidth="10" defaultColWidth="11.42578125" defaultRowHeight="15" x14ac:dyDescent="0.25"/>
  <cols>
    <col min="1" max="1" width="13.5703125" style="251" bestFit="1" customWidth="1"/>
    <col min="2" max="2" width="98.42578125" style="249" customWidth="1"/>
    <col min="3" max="3" width="21.28515625" style="249" customWidth="1"/>
    <col min="4" max="4" width="11.42578125" style="253"/>
    <col min="5" max="5" width="11.42578125" style="249"/>
    <col min="6" max="16384" width="11.42578125" style="251"/>
  </cols>
  <sheetData>
    <row r="1" spans="1:5" x14ac:dyDescent="0.25">
      <c r="A1" s="247" t="s">
        <v>317</v>
      </c>
      <c r="B1" s="248" t="s">
        <v>318</v>
      </c>
      <c r="C1" s="248" t="s">
        <v>319</v>
      </c>
      <c r="D1" s="250" t="s">
        <v>94</v>
      </c>
      <c r="E1" s="248" t="s">
        <v>320</v>
      </c>
    </row>
    <row r="2" spans="1:5" ht="30" x14ac:dyDescent="0.25">
      <c r="A2" s="247" t="s">
        <v>642</v>
      </c>
      <c r="B2" s="247" t="s">
        <v>643</v>
      </c>
      <c r="C2" s="248" t="s">
        <v>544</v>
      </c>
      <c r="D2" s="250">
        <v>45540</v>
      </c>
      <c r="E2" s="248" t="s">
        <v>88</v>
      </c>
    </row>
    <row r="3" spans="1:5" ht="30" x14ac:dyDescent="0.25">
      <c r="A3" s="252" t="s">
        <v>644</v>
      </c>
      <c r="B3" s="248" t="s">
        <v>645</v>
      </c>
      <c r="C3" s="248" t="s">
        <v>544</v>
      </c>
      <c r="D3" s="250">
        <v>45552</v>
      </c>
      <c r="E3" s="248" t="s">
        <v>321</v>
      </c>
    </row>
    <row r="4" spans="1:5" ht="30" x14ac:dyDescent="0.25">
      <c r="A4" s="252" t="s">
        <v>648</v>
      </c>
      <c r="B4" s="252" t="s">
        <v>649</v>
      </c>
      <c r="C4" s="248" t="s">
        <v>544</v>
      </c>
      <c r="D4" s="250">
        <v>45572</v>
      </c>
      <c r="E4" s="248" t="s">
        <v>646</v>
      </c>
    </row>
    <row r="5" spans="1:5" ht="30" x14ac:dyDescent="0.25">
      <c r="A5" s="252" t="s">
        <v>648</v>
      </c>
      <c r="B5" s="252" t="s">
        <v>724</v>
      </c>
      <c r="C5" s="248" t="s">
        <v>544</v>
      </c>
      <c r="D5" s="250">
        <v>45646</v>
      </c>
      <c r="E5" s="248" t="s">
        <v>653</v>
      </c>
    </row>
    <row r="6" spans="1:5" ht="30" x14ac:dyDescent="0.25">
      <c r="A6" s="252" t="s">
        <v>648</v>
      </c>
      <c r="B6" s="252" t="s">
        <v>660</v>
      </c>
      <c r="C6" s="248" t="s">
        <v>544</v>
      </c>
      <c r="D6" s="250">
        <v>45646</v>
      </c>
      <c r="E6" s="248" t="s">
        <v>653</v>
      </c>
    </row>
    <row r="7" spans="1:5" customFormat="1" ht="45" x14ac:dyDescent="0.25">
      <c r="A7" s="305" t="s">
        <v>722</v>
      </c>
      <c r="B7" s="248" t="s">
        <v>723</v>
      </c>
      <c r="C7" s="248" t="s">
        <v>544</v>
      </c>
      <c r="D7" s="306">
        <v>45680</v>
      </c>
      <c r="E7" s="307" t="s">
        <v>653</v>
      </c>
    </row>
  </sheetData>
  <autoFilter ref="A1:E1">
    <sortState ref="A2:E5">
      <sortCondition descending="1" ref="D1"/>
    </sortState>
  </autoFilter>
  <phoneticPr fontId="75" type="noConversion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"/>
  <sheetViews>
    <sheetView zoomScale="130" zoomScaleNormal="130" workbookViewId="0"/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GG1"/>
  <sheetViews>
    <sheetView zoomScale="70" zoomScaleNormal="70" workbookViewId="0">
      <selection activeCell="F2" sqref="F2"/>
    </sheetView>
  </sheetViews>
  <sheetFormatPr baseColWidth="10" defaultRowHeight="15" x14ac:dyDescent="0.25"/>
  <sheetData>
    <row r="1" spans="1:189" s="21" customFormat="1" ht="60" x14ac:dyDescent="0.25">
      <c r="A1" s="28" t="s">
        <v>322</v>
      </c>
      <c r="B1" s="30" t="s">
        <v>360</v>
      </c>
      <c r="C1" s="50" t="s">
        <v>54</v>
      </c>
      <c r="D1" s="50" t="s">
        <v>620</v>
      </c>
      <c r="E1" s="50" t="s">
        <v>621</v>
      </c>
      <c r="F1" s="50" t="s">
        <v>622</v>
      </c>
      <c r="G1" s="50" t="s">
        <v>56</v>
      </c>
      <c r="H1" s="50" t="s">
        <v>57</v>
      </c>
      <c r="I1" s="51" t="s">
        <v>58</v>
      </c>
      <c r="J1" s="50" t="s">
        <v>59</v>
      </c>
      <c r="K1" s="50" t="s">
        <v>60</v>
      </c>
      <c r="L1" s="50" t="s">
        <v>61</v>
      </c>
      <c r="M1" s="50" t="s">
        <v>62</v>
      </c>
      <c r="N1" s="50" t="s">
        <v>63</v>
      </c>
      <c r="O1" s="50" t="s">
        <v>64</v>
      </c>
      <c r="P1" s="50" t="s">
        <v>65</v>
      </c>
      <c r="Q1" s="50" t="s">
        <v>361</v>
      </c>
      <c r="R1" s="52" t="s">
        <v>67</v>
      </c>
      <c r="S1" s="50" t="s">
        <v>68</v>
      </c>
      <c r="T1" s="50" t="s">
        <v>69</v>
      </c>
      <c r="U1" s="50" t="s">
        <v>70</v>
      </c>
      <c r="V1" s="50" t="s">
        <v>71</v>
      </c>
      <c r="W1" s="50" t="s">
        <v>72</v>
      </c>
      <c r="X1" s="50" t="s">
        <v>73</v>
      </c>
      <c r="Y1" s="50" t="s">
        <v>74</v>
      </c>
      <c r="Z1" s="50" t="s">
        <v>75</v>
      </c>
      <c r="AA1" s="53" t="s">
        <v>76</v>
      </c>
      <c r="AB1" s="54" t="s">
        <v>77</v>
      </c>
      <c r="AC1" s="31" t="s">
        <v>362</v>
      </c>
      <c r="AD1" s="31" t="s">
        <v>614</v>
      </c>
      <c r="AE1" s="31" t="s">
        <v>615</v>
      </c>
      <c r="AF1" s="31" t="s">
        <v>616</v>
      </c>
      <c r="AG1" s="31" t="s">
        <v>617</v>
      </c>
      <c r="AH1" s="31" t="s">
        <v>618</v>
      </c>
      <c r="AI1" s="31" t="s">
        <v>363</v>
      </c>
      <c r="AJ1" s="31" t="s">
        <v>364</v>
      </c>
      <c r="AK1" s="31" t="s">
        <v>365</v>
      </c>
      <c r="AL1" s="31" t="s">
        <v>366</v>
      </c>
      <c r="AM1" s="32" t="s">
        <v>367</v>
      </c>
      <c r="AN1" s="33" t="s">
        <v>368</v>
      </c>
      <c r="AO1" s="33" t="s">
        <v>369</v>
      </c>
      <c r="AP1" s="33" t="s">
        <v>370</v>
      </c>
      <c r="AQ1" s="33" t="s">
        <v>371</v>
      </c>
      <c r="AR1" s="33" t="s">
        <v>372</v>
      </c>
      <c r="AS1" s="33" t="s">
        <v>373</v>
      </c>
      <c r="AT1" s="33" t="s">
        <v>374</v>
      </c>
      <c r="AU1" s="33" t="s">
        <v>375</v>
      </c>
      <c r="AV1" s="33" t="s">
        <v>376</v>
      </c>
      <c r="AW1" s="34" t="s">
        <v>377</v>
      </c>
      <c r="AX1" s="34" t="s">
        <v>378</v>
      </c>
      <c r="AY1" s="34" t="s">
        <v>379</v>
      </c>
      <c r="AZ1" s="34" t="s">
        <v>380</v>
      </c>
      <c r="BA1" s="34" t="s">
        <v>381</v>
      </c>
      <c r="BB1" s="35" t="s">
        <v>382</v>
      </c>
      <c r="BC1" s="35" t="s">
        <v>383</v>
      </c>
      <c r="BD1" s="35" t="s">
        <v>384</v>
      </c>
      <c r="BE1" s="35" t="s">
        <v>385</v>
      </c>
      <c r="BF1" s="35" t="s">
        <v>386</v>
      </c>
      <c r="BG1" s="35" t="s">
        <v>387</v>
      </c>
      <c r="BH1" s="35" t="s">
        <v>388</v>
      </c>
      <c r="BI1" s="35" t="s">
        <v>389</v>
      </c>
      <c r="BJ1" s="36" t="s">
        <v>390</v>
      </c>
      <c r="BK1" s="37" t="s">
        <v>391</v>
      </c>
      <c r="BL1" s="37" t="s">
        <v>392</v>
      </c>
      <c r="BM1" s="37" t="s">
        <v>393</v>
      </c>
      <c r="BN1" s="91" t="s">
        <v>394</v>
      </c>
      <c r="BO1" s="91" t="s">
        <v>395</v>
      </c>
      <c r="BP1" s="92" t="s">
        <v>396</v>
      </c>
      <c r="BQ1" s="91" t="s">
        <v>397</v>
      </c>
      <c r="BR1" s="91" t="s">
        <v>398</v>
      </c>
      <c r="BS1" s="91" t="s">
        <v>399</v>
      </c>
      <c r="BT1" s="93" t="s">
        <v>400</v>
      </c>
      <c r="BU1" s="93" t="s">
        <v>401</v>
      </c>
      <c r="BV1" s="93" t="s">
        <v>402</v>
      </c>
      <c r="BW1" s="93" t="s">
        <v>403</v>
      </c>
      <c r="BX1" s="93" t="s">
        <v>404</v>
      </c>
      <c r="BY1" s="93" t="s">
        <v>405</v>
      </c>
      <c r="BZ1" s="93" t="s">
        <v>406</v>
      </c>
      <c r="CA1" s="94" t="s">
        <v>407</v>
      </c>
      <c r="CB1" s="94" t="s">
        <v>408</v>
      </c>
      <c r="CC1" s="94" t="s">
        <v>409</v>
      </c>
      <c r="CD1" s="94" t="s">
        <v>410</v>
      </c>
      <c r="CE1" s="94" t="s">
        <v>411</v>
      </c>
      <c r="CF1" s="94" t="s">
        <v>412</v>
      </c>
      <c r="CG1" s="94" t="s">
        <v>413</v>
      </c>
      <c r="CH1" s="94" t="s">
        <v>414</v>
      </c>
      <c r="CI1" s="38" t="s">
        <v>415</v>
      </c>
      <c r="CJ1" s="38" t="s">
        <v>416</v>
      </c>
      <c r="CK1" s="38" t="s">
        <v>417</v>
      </c>
      <c r="CL1" s="38" t="s">
        <v>418</v>
      </c>
      <c r="CM1" s="38" t="s">
        <v>419</v>
      </c>
      <c r="CN1" s="38" t="s">
        <v>420</v>
      </c>
      <c r="CO1" s="38" t="s">
        <v>421</v>
      </c>
      <c r="CP1" s="38" t="s">
        <v>422</v>
      </c>
      <c r="CQ1" s="38" t="s">
        <v>423</v>
      </c>
      <c r="CR1" s="38" t="s">
        <v>424</v>
      </c>
      <c r="CS1" s="38" t="s">
        <v>425</v>
      </c>
      <c r="CT1" s="38" t="s">
        <v>426</v>
      </c>
      <c r="CU1" s="38" t="s">
        <v>427</v>
      </c>
      <c r="CV1" s="38" t="s">
        <v>428</v>
      </c>
      <c r="CW1" s="38" t="s">
        <v>429</v>
      </c>
      <c r="CX1" s="38" t="s">
        <v>430</v>
      </c>
      <c r="CY1" s="38" t="s">
        <v>431</v>
      </c>
      <c r="CZ1" s="38" t="s">
        <v>432</v>
      </c>
      <c r="DA1" s="38" t="s">
        <v>433</v>
      </c>
      <c r="DB1" s="38" t="s">
        <v>434</v>
      </c>
      <c r="DC1" s="38" t="s">
        <v>435</v>
      </c>
      <c r="DD1" s="38" t="s">
        <v>436</v>
      </c>
      <c r="DE1" s="38" t="s">
        <v>437</v>
      </c>
      <c r="DF1" s="38" t="s">
        <v>438</v>
      </c>
      <c r="DG1" s="38" t="s">
        <v>439</v>
      </c>
      <c r="DH1" s="38" t="s">
        <v>440</v>
      </c>
      <c r="DI1" s="38" t="s">
        <v>441</v>
      </c>
      <c r="DJ1" s="38" t="s">
        <v>442</v>
      </c>
      <c r="DK1" s="38" t="s">
        <v>443</v>
      </c>
      <c r="DL1" s="38" t="s">
        <v>444</v>
      </c>
      <c r="DM1" s="38" t="s">
        <v>445</v>
      </c>
      <c r="DN1" s="38" t="s">
        <v>446</v>
      </c>
      <c r="DO1" s="38" t="s">
        <v>447</v>
      </c>
      <c r="DP1" s="38" t="s">
        <v>448</v>
      </c>
      <c r="DQ1" s="39" t="s">
        <v>449</v>
      </c>
      <c r="DR1" s="39" t="s">
        <v>450</v>
      </c>
      <c r="DS1" s="39" t="s">
        <v>451</v>
      </c>
      <c r="DT1" s="39" t="s">
        <v>452</v>
      </c>
      <c r="DU1" s="39" t="s">
        <v>453</v>
      </c>
      <c r="DV1" s="39" t="s">
        <v>454</v>
      </c>
      <c r="DW1" s="39" t="s">
        <v>455</v>
      </c>
      <c r="DX1" s="39" t="s">
        <v>456</v>
      </c>
      <c r="DY1" s="39" t="s">
        <v>457</v>
      </c>
      <c r="DZ1" s="39" t="s">
        <v>458</v>
      </c>
      <c r="EA1" s="39" t="s">
        <v>459</v>
      </c>
      <c r="EB1" s="39" t="s">
        <v>460</v>
      </c>
      <c r="EC1" s="39" t="s">
        <v>449</v>
      </c>
      <c r="ED1" s="39" t="s">
        <v>461</v>
      </c>
      <c r="EE1" s="39" t="s">
        <v>462</v>
      </c>
      <c r="EF1" s="39" t="s">
        <v>463</v>
      </c>
      <c r="EG1" s="39" t="s">
        <v>464</v>
      </c>
      <c r="EH1" s="39" t="s">
        <v>465</v>
      </c>
      <c r="EI1" s="39" t="s">
        <v>466</v>
      </c>
      <c r="EJ1" s="39" t="s">
        <v>467</v>
      </c>
      <c r="EK1" s="39" t="s">
        <v>468</v>
      </c>
      <c r="EL1" s="39" t="s">
        <v>469</v>
      </c>
      <c r="EM1" s="39" t="s">
        <v>470</v>
      </c>
      <c r="EN1" s="39" t="s">
        <v>471</v>
      </c>
      <c r="EO1" s="39" t="s">
        <v>472</v>
      </c>
      <c r="EP1" s="39" t="s">
        <v>473</v>
      </c>
      <c r="EQ1" s="39" t="s">
        <v>474</v>
      </c>
      <c r="ER1" s="39" t="s">
        <v>475</v>
      </c>
      <c r="ES1" s="39" t="s">
        <v>476</v>
      </c>
      <c r="ET1" s="39" t="s">
        <v>477</v>
      </c>
      <c r="EU1" s="39" t="s">
        <v>478</v>
      </c>
      <c r="EV1" s="39" t="s">
        <v>479</v>
      </c>
      <c r="EW1" s="39" t="s">
        <v>480</v>
      </c>
      <c r="EX1" s="39" t="s">
        <v>481</v>
      </c>
      <c r="EY1" s="39" t="s">
        <v>482</v>
      </c>
      <c r="EZ1" s="39" t="s">
        <v>483</v>
      </c>
      <c r="FA1" s="40" t="s">
        <v>484</v>
      </c>
      <c r="FB1" s="40" t="s">
        <v>485</v>
      </c>
      <c r="FC1" s="40" t="s">
        <v>486</v>
      </c>
      <c r="FD1" s="41" t="s">
        <v>487</v>
      </c>
      <c r="FE1" s="41" t="s">
        <v>488</v>
      </c>
      <c r="FF1" s="40" t="s">
        <v>489</v>
      </c>
      <c r="FG1" s="40" t="s">
        <v>490</v>
      </c>
      <c r="FH1" s="40" t="s">
        <v>491</v>
      </c>
      <c r="FI1" s="41" t="s">
        <v>492</v>
      </c>
      <c r="FJ1" s="41" t="s">
        <v>493</v>
      </c>
      <c r="FK1" s="40" t="s">
        <v>494</v>
      </c>
      <c r="FL1" s="40" t="s">
        <v>495</v>
      </c>
      <c r="FM1" s="40" t="s">
        <v>496</v>
      </c>
      <c r="FN1" s="41" t="s">
        <v>497</v>
      </c>
      <c r="FO1" s="41" t="s">
        <v>498</v>
      </c>
      <c r="FP1" s="40" t="s">
        <v>499</v>
      </c>
      <c r="FQ1" s="40" t="s">
        <v>500</v>
      </c>
      <c r="FR1" s="40" t="s">
        <v>501</v>
      </c>
      <c r="FS1" s="41" t="s">
        <v>502</v>
      </c>
      <c r="FT1" s="41" t="s">
        <v>503</v>
      </c>
      <c r="FU1" s="40" t="s">
        <v>504</v>
      </c>
      <c r="FV1" s="40" t="s">
        <v>505</v>
      </c>
      <c r="FW1" s="40" t="s">
        <v>506</v>
      </c>
      <c r="FX1" s="41" t="s">
        <v>507</v>
      </c>
      <c r="FY1" s="41" t="s">
        <v>508</v>
      </c>
      <c r="FZ1" s="40" t="s">
        <v>509</v>
      </c>
      <c r="GA1" s="40" t="s">
        <v>510</v>
      </c>
      <c r="GB1" s="40" t="s">
        <v>511</v>
      </c>
      <c r="GC1" s="40" t="s">
        <v>512</v>
      </c>
      <c r="GD1" s="40" t="s">
        <v>513</v>
      </c>
      <c r="GE1" s="208" t="s">
        <v>639</v>
      </c>
      <c r="GF1" s="208" t="s">
        <v>640</v>
      </c>
      <c r="GG1" s="208" t="s">
        <v>641</v>
      </c>
    </row>
  </sheetData>
  <pageMargins left="0.7" right="0.7" top="0.78740157499999996" bottom="0.78740157499999996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44D979544236843800720397FCF0C3B" ma:contentTypeVersion="3" ma:contentTypeDescription="Ein neues Dokument erstellen." ma:contentTypeScope="" ma:versionID="afdffb8750659ac1a5c2b38336128dc9">
  <xsd:schema xmlns:xsd="http://www.w3.org/2001/XMLSchema" xmlns:xs="http://www.w3.org/2001/XMLSchema" xmlns:p="http://schemas.microsoft.com/office/2006/metadata/properties" xmlns:ns2="0a813d43-1259-436e-8564-e531520a6d01" targetNamespace="http://schemas.microsoft.com/office/2006/metadata/properties" ma:root="true" ma:fieldsID="f281074914dc64f35757f9966eb4c16e" ns2:_="">
    <xsd:import namespace="0a813d43-1259-436e-8564-e531520a6d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813d43-1259-436e-8564-e531520a6d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2365E1E-BDC8-4274-BD32-7891A15C3A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813d43-1259-436e-8564-e531520a6d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42A1DC-4E57-4F7C-96D5-2C12110C77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8B1722-6BC6-4B6C-8B40-D59B4CAEBA8C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0a813d43-1259-436e-8564-e531520a6d01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6</vt:i4>
      </vt:variant>
    </vt:vector>
  </HeadingPairs>
  <TitlesOfParts>
    <vt:vector size="17" baseType="lpstr">
      <vt:lpstr>Auftragsdaten</vt:lpstr>
      <vt:lpstr>Proben</vt:lpstr>
      <vt:lpstr>Muster-csv</vt:lpstr>
      <vt:lpstr>Einstellungen+Makro</vt:lpstr>
      <vt:lpstr>freies Blatt</vt:lpstr>
      <vt:lpstr>Begleitschein</vt:lpstr>
      <vt:lpstr>Anleitung</vt:lpstr>
      <vt:lpstr>Hilfstabellen</vt:lpstr>
      <vt:lpstr>ChangeLog</vt:lpstr>
      <vt:lpstr>analog</vt:lpstr>
      <vt:lpstr>Proben-Hilfe</vt:lpstr>
      <vt:lpstr>Ackergras</vt:lpstr>
      <vt:lpstr>Auftragsdaten!Druckbereich</vt:lpstr>
      <vt:lpstr>Auftragsdaten!Druckbereich_Auftragsdaten</vt:lpstr>
      <vt:lpstr>Proben!Drucktitel</vt:lpstr>
      <vt:lpstr>Fruchtarten</vt:lpstr>
      <vt:lpstr>Typ_Nmin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1.02</dc:title>
  <dc:creator>Schülter, Mathias</dc:creator>
  <cp:keywords>Boden</cp:keywords>
  <cp:lastModifiedBy>Rupprecht, Markus</cp:lastModifiedBy>
  <cp:revision/>
  <dcterms:created xsi:type="dcterms:W3CDTF">2022-01-06T14:26:45Z</dcterms:created>
  <dcterms:modified xsi:type="dcterms:W3CDTF">2025-01-23T09:37:27Z</dcterms:modified>
  <cp:category>Probenbegleitschein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P_GUID">
    <vt:lpwstr>67b70b52-2227-4a68-b95c-3aca64e7d635</vt:lpwstr>
  </property>
  <property fmtid="{D5CDD505-2E9C-101B-9397-08002B2CF9AE}" pid="3" name="ContentTypeId">
    <vt:lpwstr>0x010100E44D979544236843800720397FCF0C3B</vt:lpwstr>
  </property>
</Properties>
</file>